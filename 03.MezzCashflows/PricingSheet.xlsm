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32. Structuring\96. Pak Data\MezzCashflow\"/>
    </mc:Choice>
  </mc:AlternateContent>
  <xr:revisionPtr revIDLastSave="0" documentId="10_ncr:8100000_{4F9FB1E3-FD83-4C71-88DB-9B4086B3528B}" xr6:coauthVersionLast="32" xr6:coauthVersionMax="33" xr10:uidLastSave="{00000000-0000-0000-0000-000000000000}"/>
  <bookViews>
    <workbookView xWindow="0" yWindow="0" windowWidth="19200" windowHeight="7980" xr2:uid="{4956A639-6538-43D2-821B-789B17E3269A}"/>
  </bookViews>
  <sheets>
    <sheet name="Sheet1" sheetId="1" r:id="rId1"/>
    <sheet name="Control" sheetId="2" r:id="rId2"/>
  </sheets>
  <definedNames>
    <definedName name="BondNameColumn">Sheet1!$C$5</definedName>
    <definedName name="DateAsOf">Sheet1!$C$4</definedName>
    <definedName name="NCE_Column">Sheet1!$G$5</definedName>
    <definedName name="RED_Column">Sheet1!$F$5</definedName>
    <definedName name="RunAnchor">Sheet1!$K$5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2" l="1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3" i="2"/>
  <c r="C5" i="2"/>
  <c r="C4" i="2"/>
  <c r="C3" i="2"/>
  <c r="L1659" i="2"/>
  <c r="L1658" i="2"/>
  <c r="L1657" i="2"/>
  <c r="L1656" i="2"/>
  <c r="L1655" i="2"/>
  <c r="L1654" i="2"/>
  <c r="L1653" i="2"/>
  <c r="L1652" i="2"/>
  <c r="L1651" i="2"/>
  <c r="L1650" i="2"/>
  <c r="L1649" i="2"/>
  <c r="L1648" i="2"/>
  <c r="L1647" i="2"/>
  <c r="L1646" i="2"/>
  <c r="L1645" i="2"/>
  <c r="L1644" i="2"/>
  <c r="L1643" i="2"/>
  <c r="L1642" i="2"/>
  <c r="L1641" i="2"/>
  <c r="L1640" i="2"/>
  <c r="L1639" i="2"/>
  <c r="L1638" i="2"/>
  <c r="L1637" i="2"/>
  <c r="L1636" i="2"/>
  <c r="L1635" i="2"/>
  <c r="L1634" i="2"/>
  <c r="L1633" i="2"/>
  <c r="L1632" i="2"/>
  <c r="L1631" i="2"/>
  <c r="L1630" i="2"/>
  <c r="L1629" i="2"/>
  <c r="L1628" i="2"/>
  <c r="L1627" i="2"/>
  <c r="L1626" i="2"/>
  <c r="L1625" i="2"/>
  <c r="L1624" i="2"/>
  <c r="L1623" i="2"/>
  <c r="L1622" i="2"/>
  <c r="L1621" i="2"/>
  <c r="L1620" i="2"/>
  <c r="L1619" i="2"/>
  <c r="L1618" i="2"/>
  <c r="L1617" i="2"/>
  <c r="L1616" i="2"/>
  <c r="L1615" i="2"/>
  <c r="L1614" i="2"/>
  <c r="L1613" i="2"/>
  <c r="L1612" i="2"/>
  <c r="L1611" i="2"/>
  <c r="L1610" i="2"/>
  <c r="L1609" i="2"/>
  <c r="L1608" i="2"/>
  <c r="L1607" i="2"/>
  <c r="L1606" i="2"/>
  <c r="L1605" i="2"/>
  <c r="L1604" i="2"/>
  <c r="L1603" i="2"/>
  <c r="L1602" i="2"/>
  <c r="L1601" i="2"/>
  <c r="L1600" i="2"/>
  <c r="L1599" i="2"/>
  <c r="L1598" i="2"/>
  <c r="L1597" i="2"/>
  <c r="L1596" i="2"/>
  <c r="L1595" i="2"/>
  <c r="L1594" i="2"/>
  <c r="L1593" i="2"/>
  <c r="L1592" i="2"/>
  <c r="L1591" i="2"/>
  <c r="L1590" i="2"/>
  <c r="L1589" i="2"/>
  <c r="L1588" i="2"/>
  <c r="L1587" i="2"/>
  <c r="L1586" i="2"/>
  <c r="L1585" i="2"/>
  <c r="L1584" i="2"/>
  <c r="L1583" i="2"/>
  <c r="L1582" i="2"/>
  <c r="L1581" i="2"/>
  <c r="L1580" i="2"/>
  <c r="L1579" i="2"/>
  <c r="L1578" i="2"/>
  <c r="L1577" i="2"/>
  <c r="L1576" i="2"/>
  <c r="L1575" i="2"/>
  <c r="L1574" i="2"/>
  <c r="L1573" i="2"/>
  <c r="L1572" i="2"/>
  <c r="L1571" i="2"/>
  <c r="L1570" i="2"/>
  <c r="L1569" i="2"/>
  <c r="L1568" i="2"/>
  <c r="L1567" i="2"/>
  <c r="L1566" i="2"/>
  <c r="L1565" i="2"/>
  <c r="L1564" i="2"/>
  <c r="L1563" i="2"/>
  <c r="L1562" i="2"/>
  <c r="L1561" i="2"/>
  <c r="L1560" i="2"/>
  <c r="L1559" i="2"/>
  <c r="L1558" i="2"/>
  <c r="L1557" i="2"/>
  <c r="L1556" i="2"/>
  <c r="L1555" i="2"/>
  <c r="L1554" i="2"/>
  <c r="L1553" i="2"/>
  <c r="L1552" i="2"/>
  <c r="L1551" i="2"/>
  <c r="L1550" i="2"/>
  <c r="L1549" i="2"/>
  <c r="L1548" i="2"/>
  <c r="L1547" i="2"/>
  <c r="L1546" i="2"/>
  <c r="L1545" i="2"/>
  <c r="L1544" i="2"/>
  <c r="L1543" i="2"/>
  <c r="L1542" i="2"/>
  <c r="L1541" i="2"/>
  <c r="L1540" i="2"/>
  <c r="L1539" i="2"/>
  <c r="L1538" i="2"/>
  <c r="L1537" i="2"/>
  <c r="L1536" i="2"/>
  <c r="L1535" i="2"/>
  <c r="L1534" i="2"/>
  <c r="L1533" i="2"/>
  <c r="L1532" i="2"/>
  <c r="L1531" i="2"/>
  <c r="L1530" i="2"/>
  <c r="L1529" i="2"/>
  <c r="L1528" i="2"/>
  <c r="L1527" i="2"/>
  <c r="L1526" i="2"/>
  <c r="L1525" i="2"/>
  <c r="L1524" i="2"/>
  <c r="L1523" i="2"/>
  <c r="L1522" i="2"/>
  <c r="L1521" i="2"/>
  <c r="L1520" i="2"/>
  <c r="L1519" i="2"/>
  <c r="L1518" i="2"/>
  <c r="L1517" i="2"/>
  <c r="L1516" i="2"/>
  <c r="L1515" i="2"/>
  <c r="L1514" i="2"/>
  <c r="L1513" i="2"/>
  <c r="L1512" i="2"/>
  <c r="L1511" i="2"/>
  <c r="L1510" i="2"/>
  <c r="L1509" i="2"/>
  <c r="L1508" i="2"/>
  <c r="L1507" i="2"/>
  <c r="L1506" i="2"/>
  <c r="L1505" i="2"/>
  <c r="L1504" i="2"/>
  <c r="L1503" i="2"/>
  <c r="L1502" i="2"/>
  <c r="L1501" i="2"/>
  <c r="L1500" i="2"/>
  <c r="L1499" i="2"/>
  <c r="L1498" i="2"/>
  <c r="L1497" i="2"/>
  <c r="L1496" i="2"/>
  <c r="L1495" i="2"/>
  <c r="L1494" i="2"/>
  <c r="L1493" i="2"/>
  <c r="L1492" i="2"/>
  <c r="L1491" i="2"/>
  <c r="L1490" i="2"/>
  <c r="L1489" i="2"/>
  <c r="L1488" i="2"/>
  <c r="L1487" i="2"/>
  <c r="L1486" i="2"/>
  <c r="L1485" i="2"/>
  <c r="L1484" i="2"/>
  <c r="L1483" i="2"/>
  <c r="L1482" i="2"/>
  <c r="L1481" i="2"/>
  <c r="L1480" i="2"/>
  <c r="L1479" i="2"/>
  <c r="L1478" i="2"/>
  <c r="L1477" i="2"/>
  <c r="L1476" i="2"/>
  <c r="L1475" i="2"/>
  <c r="L1474" i="2"/>
  <c r="L1473" i="2"/>
  <c r="L1472" i="2"/>
  <c r="L1471" i="2"/>
  <c r="L1470" i="2"/>
  <c r="L1469" i="2"/>
  <c r="L1468" i="2"/>
  <c r="L1467" i="2"/>
  <c r="L1466" i="2"/>
  <c r="L1465" i="2"/>
  <c r="L1464" i="2"/>
  <c r="L1463" i="2"/>
  <c r="L1462" i="2"/>
  <c r="L1461" i="2"/>
  <c r="L1460" i="2"/>
  <c r="L1459" i="2"/>
  <c r="L1458" i="2"/>
  <c r="L1457" i="2"/>
  <c r="L1456" i="2"/>
  <c r="L1455" i="2"/>
  <c r="L1454" i="2"/>
  <c r="L1453" i="2"/>
  <c r="L1452" i="2"/>
  <c r="L1451" i="2"/>
  <c r="L1450" i="2"/>
  <c r="L1449" i="2"/>
  <c r="L1448" i="2"/>
  <c r="L1447" i="2"/>
  <c r="L1446" i="2"/>
  <c r="L1445" i="2"/>
  <c r="L1444" i="2"/>
  <c r="L1443" i="2"/>
  <c r="L1442" i="2"/>
  <c r="L1441" i="2"/>
  <c r="L1440" i="2"/>
  <c r="L1439" i="2"/>
  <c r="L1438" i="2"/>
  <c r="L1437" i="2"/>
  <c r="L1436" i="2"/>
  <c r="L1435" i="2"/>
  <c r="L1434" i="2"/>
  <c r="L1433" i="2"/>
  <c r="L1432" i="2"/>
  <c r="L1431" i="2"/>
  <c r="L1430" i="2"/>
  <c r="L1429" i="2"/>
  <c r="L1428" i="2"/>
  <c r="L1427" i="2"/>
  <c r="L1426" i="2"/>
  <c r="L1425" i="2"/>
  <c r="L1424" i="2"/>
  <c r="L1423" i="2"/>
  <c r="L1422" i="2"/>
  <c r="L1421" i="2"/>
  <c r="L1420" i="2"/>
  <c r="L1419" i="2"/>
  <c r="L1418" i="2"/>
  <c r="L1417" i="2"/>
  <c r="L1416" i="2"/>
  <c r="L1415" i="2"/>
  <c r="L1414" i="2"/>
  <c r="L1413" i="2"/>
  <c r="L1412" i="2"/>
  <c r="L1411" i="2"/>
  <c r="L1410" i="2"/>
  <c r="L1409" i="2"/>
  <c r="L1408" i="2"/>
  <c r="L1407" i="2"/>
  <c r="L1406" i="2"/>
  <c r="L1405" i="2"/>
  <c r="L1404" i="2"/>
  <c r="L1403" i="2"/>
  <c r="L1402" i="2"/>
  <c r="L1401" i="2"/>
  <c r="L1400" i="2"/>
  <c r="L1399" i="2"/>
  <c r="L1398" i="2"/>
  <c r="L1397" i="2"/>
  <c r="L1396" i="2"/>
  <c r="L1395" i="2"/>
  <c r="L1394" i="2"/>
  <c r="L1393" i="2"/>
  <c r="L1392" i="2"/>
  <c r="L1391" i="2"/>
  <c r="L1390" i="2"/>
  <c r="L1389" i="2"/>
  <c r="L1388" i="2"/>
  <c r="L1387" i="2"/>
  <c r="L1386" i="2"/>
  <c r="L1385" i="2"/>
  <c r="L1384" i="2"/>
  <c r="L1383" i="2"/>
  <c r="L1382" i="2"/>
  <c r="L1381" i="2"/>
  <c r="L1380" i="2"/>
  <c r="L1379" i="2"/>
  <c r="L1378" i="2"/>
  <c r="L1377" i="2"/>
  <c r="L1376" i="2"/>
  <c r="L1375" i="2"/>
  <c r="L1374" i="2"/>
  <c r="L1373" i="2"/>
  <c r="L1372" i="2"/>
  <c r="L1371" i="2"/>
  <c r="L1370" i="2"/>
  <c r="L1369" i="2"/>
  <c r="L1368" i="2"/>
  <c r="L1367" i="2"/>
  <c r="L1366" i="2"/>
  <c r="L1365" i="2"/>
  <c r="L1364" i="2"/>
  <c r="L1363" i="2"/>
  <c r="L1362" i="2"/>
  <c r="L1361" i="2"/>
  <c r="L1360" i="2"/>
  <c r="L1359" i="2"/>
  <c r="L1358" i="2"/>
  <c r="L1357" i="2"/>
  <c r="L1356" i="2"/>
  <c r="L1355" i="2"/>
  <c r="L1354" i="2"/>
  <c r="L1353" i="2"/>
  <c r="L1352" i="2"/>
  <c r="L1351" i="2"/>
  <c r="L1350" i="2"/>
  <c r="L1349" i="2"/>
  <c r="L1348" i="2"/>
  <c r="L1347" i="2"/>
  <c r="L1346" i="2"/>
  <c r="L1345" i="2"/>
  <c r="L1344" i="2"/>
  <c r="L1343" i="2"/>
  <c r="L1342" i="2"/>
  <c r="L1341" i="2"/>
  <c r="L1340" i="2"/>
  <c r="L1339" i="2"/>
  <c r="L1338" i="2"/>
  <c r="L1337" i="2"/>
  <c r="L1336" i="2"/>
  <c r="L1335" i="2"/>
  <c r="L1334" i="2"/>
  <c r="L1333" i="2"/>
  <c r="L1332" i="2"/>
  <c r="L1331" i="2"/>
  <c r="L1330" i="2"/>
  <c r="L1329" i="2"/>
  <c r="L1328" i="2"/>
  <c r="L1327" i="2"/>
  <c r="L1326" i="2"/>
  <c r="L1325" i="2"/>
  <c r="L1324" i="2"/>
  <c r="L1323" i="2"/>
  <c r="L1322" i="2"/>
  <c r="L1321" i="2"/>
  <c r="L1320" i="2"/>
  <c r="L1319" i="2"/>
  <c r="L1318" i="2"/>
  <c r="L1317" i="2"/>
  <c r="L1316" i="2"/>
  <c r="L1315" i="2"/>
  <c r="L1314" i="2"/>
  <c r="L1313" i="2"/>
  <c r="L1312" i="2"/>
  <c r="L1311" i="2"/>
  <c r="L1310" i="2"/>
  <c r="L1309" i="2"/>
  <c r="L1308" i="2"/>
  <c r="L1307" i="2"/>
  <c r="L1306" i="2"/>
  <c r="L1305" i="2"/>
  <c r="L1304" i="2"/>
  <c r="L1303" i="2"/>
  <c r="L1302" i="2"/>
  <c r="L1301" i="2"/>
  <c r="L1300" i="2"/>
  <c r="L1299" i="2"/>
  <c r="L1298" i="2"/>
  <c r="L1297" i="2"/>
  <c r="L1296" i="2"/>
  <c r="L1295" i="2"/>
  <c r="L1294" i="2"/>
  <c r="L1293" i="2"/>
  <c r="L1292" i="2"/>
  <c r="L1291" i="2"/>
  <c r="L1290" i="2"/>
  <c r="L1289" i="2"/>
  <c r="L1288" i="2"/>
  <c r="L1287" i="2"/>
  <c r="L1286" i="2"/>
  <c r="L1285" i="2"/>
  <c r="L1284" i="2"/>
  <c r="L1283" i="2"/>
  <c r="L1282" i="2"/>
  <c r="L1281" i="2"/>
  <c r="L1280" i="2"/>
  <c r="L1279" i="2"/>
  <c r="L1278" i="2"/>
  <c r="L1277" i="2"/>
  <c r="L1276" i="2"/>
  <c r="L1275" i="2"/>
  <c r="L1274" i="2"/>
  <c r="L1273" i="2"/>
  <c r="L1272" i="2"/>
  <c r="L1271" i="2"/>
  <c r="L1270" i="2"/>
  <c r="L1269" i="2"/>
  <c r="L1268" i="2"/>
  <c r="L1267" i="2"/>
  <c r="L1266" i="2"/>
  <c r="L1265" i="2"/>
  <c r="L1264" i="2"/>
  <c r="L1263" i="2"/>
  <c r="L1262" i="2"/>
  <c r="L1261" i="2"/>
  <c r="L1260" i="2"/>
  <c r="L1259" i="2"/>
  <c r="L1258" i="2"/>
  <c r="L1257" i="2"/>
  <c r="L1256" i="2"/>
  <c r="L1255" i="2"/>
  <c r="L1254" i="2"/>
  <c r="L1253" i="2"/>
  <c r="L1252" i="2"/>
  <c r="L1251" i="2"/>
  <c r="L1250" i="2"/>
  <c r="L1249" i="2"/>
  <c r="L1248" i="2"/>
  <c r="L1247" i="2"/>
  <c r="L1246" i="2"/>
  <c r="L1245" i="2"/>
  <c r="L1244" i="2"/>
  <c r="L1243" i="2"/>
  <c r="L1242" i="2"/>
  <c r="L1241" i="2"/>
  <c r="L1240" i="2"/>
  <c r="L1239" i="2"/>
  <c r="L1238" i="2"/>
  <c r="L1237" i="2"/>
  <c r="L1236" i="2"/>
  <c r="L1235" i="2"/>
  <c r="L1234" i="2"/>
  <c r="L1233" i="2"/>
  <c r="L1232" i="2"/>
  <c r="L1231" i="2"/>
  <c r="L1230" i="2"/>
  <c r="L1229" i="2"/>
  <c r="L1228" i="2"/>
  <c r="L1227" i="2"/>
  <c r="L1226" i="2"/>
  <c r="L1225" i="2"/>
  <c r="L1224" i="2"/>
  <c r="L1223" i="2"/>
  <c r="L1222" i="2"/>
  <c r="L1221" i="2"/>
  <c r="L1220" i="2"/>
  <c r="L1219" i="2"/>
  <c r="L1218" i="2"/>
  <c r="L1217" i="2"/>
  <c r="L1216" i="2"/>
  <c r="L1215" i="2"/>
  <c r="L1214" i="2"/>
  <c r="L1213" i="2"/>
  <c r="L1212" i="2"/>
  <c r="L1211" i="2"/>
  <c r="L1210" i="2"/>
  <c r="L1209" i="2"/>
  <c r="L1208" i="2"/>
  <c r="L1207" i="2"/>
  <c r="L1206" i="2"/>
  <c r="L1205" i="2"/>
  <c r="L1204" i="2"/>
  <c r="L1203" i="2"/>
  <c r="L1202" i="2"/>
  <c r="L1201" i="2"/>
  <c r="L1200" i="2"/>
  <c r="L1199" i="2"/>
  <c r="L1198" i="2"/>
  <c r="L1197" i="2"/>
  <c r="L1196" i="2"/>
  <c r="L1195" i="2"/>
  <c r="L1194" i="2"/>
  <c r="L1193" i="2"/>
  <c r="L1192" i="2"/>
  <c r="L1191" i="2"/>
  <c r="L1190" i="2"/>
  <c r="L1189" i="2"/>
  <c r="L1188" i="2"/>
  <c r="L1187" i="2"/>
  <c r="L1186" i="2"/>
  <c r="L1185" i="2"/>
  <c r="L1184" i="2"/>
  <c r="L1183" i="2"/>
  <c r="L1182" i="2"/>
  <c r="L1181" i="2"/>
  <c r="L1180" i="2"/>
  <c r="L1179" i="2"/>
  <c r="L1178" i="2"/>
  <c r="L1177" i="2"/>
  <c r="L1176" i="2"/>
  <c r="L1175" i="2"/>
  <c r="L1174" i="2"/>
  <c r="L1173" i="2"/>
  <c r="L1172" i="2"/>
  <c r="L1171" i="2"/>
  <c r="L1170" i="2"/>
  <c r="L1169" i="2"/>
  <c r="L1168" i="2"/>
  <c r="L1167" i="2"/>
  <c r="L1166" i="2"/>
  <c r="L1165" i="2"/>
  <c r="L1164" i="2"/>
  <c r="L1163" i="2"/>
  <c r="L1162" i="2"/>
  <c r="L1161" i="2"/>
  <c r="L1160" i="2"/>
  <c r="L1159" i="2"/>
  <c r="L1158" i="2"/>
  <c r="L1157" i="2"/>
  <c r="L1156" i="2"/>
  <c r="L1155" i="2"/>
  <c r="L1154" i="2"/>
  <c r="L1153" i="2"/>
  <c r="L1152" i="2"/>
  <c r="L1151" i="2"/>
  <c r="L1150" i="2"/>
  <c r="L1149" i="2"/>
  <c r="L1148" i="2"/>
  <c r="L1147" i="2"/>
  <c r="L1146" i="2"/>
  <c r="L1145" i="2"/>
  <c r="L1144" i="2"/>
  <c r="L1143" i="2"/>
  <c r="L1142" i="2"/>
  <c r="L1141" i="2"/>
  <c r="L1140" i="2"/>
  <c r="L1139" i="2"/>
  <c r="L1138" i="2"/>
  <c r="L1137" i="2"/>
  <c r="L1136" i="2"/>
  <c r="L1135" i="2"/>
  <c r="L1134" i="2"/>
  <c r="L1133" i="2"/>
  <c r="L1132" i="2"/>
  <c r="L1131" i="2"/>
  <c r="L1130" i="2"/>
  <c r="L1129" i="2"/>
  <c r="L1128" i="2"/>
  <c r="L1127" i="2"/>
  <c r="L1126" i="2"/>
  <c r="L1125" i="2"/>
  <c r="L1124" i="2"/>
  <c r="L1123" i="2"/>
  <c r="L1122" i="2"/>
  <c r="L1121" i="2"/>
  <c r="L1120" i="2"/>
  <c r="L1119" i="2"/>
  <c r="L1118" i="2"/>
  <c r="L1117" i="2"/>
  <c r="L1116" i="2"/>
  <c r="L1115" i="2"/>
  <c r="L1114" i="2"/>
  <c r="L1113" i="2"/>
  <c r="L1112" i="2"/>
  <c r="L1111" i="2"/>
  <c r="L1110" i="2"/>
  <c r="L1109" i="2"/>
  <c r="L1108" i="2"/>
  <c r="L1107" i="2"/>
  <c r="L1106" i="2"/>
  <c r="L1105" i="2"/>
  <c r="L1104" i="2"/>
  <c r="L1103" i="2"/>
  <c r="L1102" i="2"/>
  <c r="L1101" i="2"/>
  <c r="L1100" i="2"/>
  <c r="L1099" i="2"/>
  <c r="L1098" i="2"/>
  <c r="L1097" i="2"/>
  <c r="L1096" i="2"/>
  <c r="L1095" i="2"/>
  <c r="L1094" i="2"/>
  <c r="L1093" i="2"/>
  <c r="L1092" i="2"/>
  <c r="L1091" i="2"/>
  <c r="L1090" i="2"/>
  <c r="L1089" i="2"/>
  <c r="L1088" i="2"/>
  <c r="L1087" i="2"/>
  <c r="L1086" i="2"/>
  <c r="L1085" i="2"/>
  <c r="L1084" i="2"/>
  <c r="L1083" i="2"/>
  <c r="L1082" i="2"/>
  <c r="L1081" i="2"/>
  <c r="L1080" i="2"/>
  <c r="L1079" i="2"/>
  <c r="L1078" i="2"/>
  <c r="L1077" i="2"/>
  <c r="L1076" i="2"/>
  <c r="L1075" i="2"/>
  <c r="L1074" i="2"/>
  <c r="L1073" i="2"/>
  <c r="L1072" i="2"/>
  <c r="L1071" i="2"/>
  <c r="L1070" i="2"/>
  <c r="L1069" i="2"/>
  <c r="L1068" i="2"/>
  <c r="L1067" i="2"/>
  <c r="L1066" i="2"/>
  <c r="L1065" i="2"/>
  <c r="L1064" i="2"/>
  <c r="L1063" i="2"/>
  <c r="L1062" i="2"/>
  <c r="L1061" i="2"/>
  <c r="L1060" i="2"/>
  <c r="L1059" i="2"/>
  <c r="L1058" i="2"/>
  <c r="L1057" i="2"/>
  <c r="L1056" i="2"/>
  <c r="L1055" i="2"/>
  <c r="L1054" i="2"/>
  <c r="L1053" i="2"/>
  <c r="L1052" i="2"/>
  <c r="L1051" i="2"/>
  <c r="L1050" i="2"/>
  <c r="L1049" i="2"/>
  <c r="L1048" i="2"/>
  <c r="L1047" i="2"/>
  <c r="L1046" i="2"/>
  <c r="L1045" i="2"/>
  <c r="L1044" i="2"/>
  <c r="L1043" i="2"/>
  <c r="L1042" i="2"/>
  <c r="L1041" i="2"/>
  <c r="L1040" i="2"/>
  <c r="L1039" i="2"/>
  <c r="L1038" i="2"/>
  <c r="L1037" i="2"/>
  <c r="L1036" i="2"/>
  <c r="L1035" i="2"/>
  <c r="L1034" i="2"/>
  <c r="L1033" i="2"/>
  <c r="L1032" i="2"/>
  <c r="L1031" i="2"/>
  <c r="L1030" i="2"/>
  <c r="L1029" i="2"/>
  <c r="L1028" i="2"/>
  <c r="L1027" i="2"/>
  <c r="L1026" i="2"/>
  <c r="L1025" i="2"/>
  <c r="L1024" i="2"/>
  <c r="L1023" i="2"/>
  <c r="L1022" i="2"/>
  <c r="L1021" i="2"/>
  <c r="L1020" i="2"/>
  <c r="L1019" i="2"/>
  <c r="L1018" i="2"/>
  <c r="L1017" i="2"/>
  <c r="L1016" i="2"/>
  <c r="L1015" i="2"/>
  <c r="L1014" i="2"/>
  <c r="L1013" i="2"/>
  <c r="L1012" i="2"/>
  <c r="L1011" i="2"/>
  <c r="L1010" i="2"/>
  <c r="L1009" i="2"/>
  <c r="L1008" i="2"/>
  <c r="L1007" i="2"/>
  <c r="L1006" i="2"/>
  <c r="L1005" i="2"/>
  <c r="L1004" i="2"/>
  <c r="L1003" i="2"/>
  <c r="L1002" i="2"/>
  <c r="L1001" i="2"/>
  <c r="L1000" i="2"/>
  <c r="L999" i="2"/>
  <c r="L998" i="2"/>
  <c r="L997" i="2"/>
  <c r="L996" i="2"/>
  <c r="L995" i="2"/>
  <c r="L994" i="2"/>
  <c r="L993" i="2"/>
  <c r="L992" i="2"/>
  <c r="L991" i="2"/>
  <c r="L990" i="2"/>
  <c r="L989" i="2"/>
  <c r="L988" i="2"/>
  <c r="L987" i="2"/>
  <c r="L986" i="2"/>
  <c r="L985" i="2"/>
  <c r="L984" i="2"/>
  <c r="L983" i="2"/>
  <c r="L982" i="2"/>
  <c r="L981" i="2"/>
  <c r="L980" i="2"/>
  <c r="L979" i="2"/>
  <c r="L978" i="2"/>
  <c r="L977" i="2"/>
  <c r="L976" i="2"/>
  <c r="L975" i="2"/>
  <c r="L974" i="2"/>
  <c r="L973" i="2"/>
  <c r="L972" i="2"/>
  <c r="L971" i="2"/>
  <c r="L970" i="2"/>
  <c r="L969" i="2"/>
  <c r="L968" i="2"/>
  <c r="L967" i="2"/>
  <c r="L966" i="2"/>
  <c r="L965" i="2"/>
  <c r="L964" i="2"/>
  <c r="L963" i="2"/>
  <c r="L962" i="2"/>
  <c r="L961" i="2"/>
  <c r="L960" i="2"/>
  <c r="L959" i="2"/>
  <c r="L958" i="2"/>
  <c r="L957" i="2"/>
  <c r="L956" i="2"/>
  <c r="L955" i="2"/>
  <c r="L954" i="2"/>
  <c r="L953" i="2"/>
  <c r="L952" i="2"/>
  <c r="L951" i="2"/>
  <c r="L950" i="2"/>
  <c r="L949" i="2"/>
  <c r="L948" i="2"/>
  <c r="L947" i="2"/>
  <c r="L946" i="2"/>
  <c r="L945" i="2"/>
  <c r="L944" i="2"/>
  <c r="L943" i="2"/>
  <c r="L942" i="2"/>
  <c r="L941" i="2"/>
  <c r="L940" i="2"/>
  <c r="L939" i="2"/>
  <c r="L938" i="2"/>
  <c r="L937" i="2"/>
  <c r="L936" i="2"/>
  <c r="L935" i="2"/>
  <c r="L934" i="2"/>
  <c r="L933" i="2"/>
  <c r="L932" i="2"/>
  <c r="L931" i="2"/>
  <c r="L930" i="2"/>
  <c r="L929" i="2"/>
  <c r="L928" i="2"/>
  <c r="L927" i="2"/>
  <c r="L926" i="2"/>
  <c r="L925" i="2"/>
  <c r="L924" i="2"/>
  <c r="L923" i="2"/>
  <c r="L922" i="2"/>
  <c r="L921" i="2"/>
  <c r="L920" i="2"/>
  <c r="L919" i="2"/>
  <c r="L918" i="2"/>
  <c r="L917" i="2"/>
  <c r="L916" i="2"/>
  <c r="L915" i="2"/>
  <c r="L914" i="2"/>
  <c r="L913" i="2"/>
  <c r="L912" i="2"/>
  <c r="L911" i="2"/>
  <c r="L910" i="2"/>
  <c r="L909" i="2"/>
  <c r="L908" i="2"/>
  <c r="L907" i="2"/>
  <c r="L906" i="2"/>
  <c r="L905" i="2"/>
  <c r="L904" i="2"/>
  <c r="L903" i="2"/>
  <c r="L902" i="2"/>
  <c r="L901" i="2"/>
  <c r="L900" i="2"/>
  <c r="L899" i="2"/>
  <c r="L898" i="2"/>
  <c r="L897" i="2"/>
  <c r="L896" i="2"/>
  <c r="L895" i="2"/>
  <c r="L894" i="2"/>
  <c r="L893" i="2"/>
  <c r="L892" i="2"/>
  <c r="L891" i="2"/>
  <c r="L890" i="2"/>
  <c r="L889" i="2"/>
  <c r="L888" i="2"/>
  <c r="L887" i="2"/>
  <c r="L886" i="2"/>
  <c r="L885" i="2"/>
  <c r="L884" i="2"/>
  <c r="L883" i="2"/>
  <c r="L882" i="2"/>
  <c r="L881" i="2"/>
  <c r="L880" i="2"/>
  <c r="L879" i="2"/>
  <c r="L878" i="2"/>
  <c r="L877" i="2"/>
  <c r="L876" i="2"/>
  <c r="L875" i="2"/>
  <c r="L874" i="2"/>
  <c r="L873" i="2"/>
  <c r="L872" i="2"/>
  <c r="L871" i="2"/>
  <c r="L870" i="2"/>
  <c r="L869" i="2"/>
  <c r="L868" i="2"/>
  <c r="L867" i="2"/>
  <c r="L866" i="2"/>
  <c r="L865" i="2"/>
  <c r="L864" i="2"/>
  <c r="L863" i="2"/>
  <c r="L862" i="2"/>
  <c r="L861" i="2"/>
  <c r="L860" i="2"/>
  <c r="L859" i="2"/>
  <c r="L858" i="2"/>
  <c r="L857" i="2"/>
  <c r="L856" i="2"/>
  <c r="L855" i="2"/>
  <c r="L854" i="2"/>
  <c r="L853" i="2"/>
  <c r="L852" i="2"/>
  <c r="L851" i="2"/>
  <c r="L850" i="2"/>
  <c r="L849" i="2"/>
  <c r="L848" i="2"/>
  <c r="L847" i="2"/>
  <c r="L846" i="2"/>
  <c r="L845" i="2"/>
  <c r="L844" i="2"/>
  <c r="L843" i="2"/>
  <c r="L842" i="2"/>
  <c r="L841" i="2"/>
  <c r="L840" i="2"/>
  <c r="L839" i="2"/>
  <c r="L838" i="2"/>
  <c r="L837" i="2"/>
  <c r="L836" i="2"/>
  <c r="L835" i="2"/>
  <c r="L834" i="2"/>
  <c r="L833" i="2"/>
  <c r="L832" i="2"/>
  <c r="L831" i="2"/>
  <c r="L830" i="2"/>
  <c r="L829" i="2"/>
  <c r="L828" i="2"/>
  <c r="L827" i="2"/>
  <c r="L826" i="2"/>
  <c r="L825" i="2"/>
  <c r="L824" i="2"/>
  <c r="L823" i="2"/>
  <c r="L822" i="2"/>
  <c r="L821" i="2"/>
  <c r="L820" i="2"/>
  <c r="L819" i="2"/>
  <c r="L818" i="2"/>
  <c r="L817" i="2"/>
  <c r="L816" i="2"/>
  <c r="L815" i="2"/>
  <c r="L814" i="2"/>
  <c r="L813" i="2"/>
  <c r="L812" i="2"/>
  <c r="L811" i="2"/>
  <c r="L810" i="2"/>
  <c r="L809" i="2"/>
  <c r="L808" i="2"/>
  <c r="L807" i="2"/>
  <c r="L806" i="2"/>
  <c r="L805" i="2"/>
  <c r="L804" i="2"/>
  <c r="L803" i="2"/>
  <c r="L802" i="2"/>
  <c r="L801" i="2"/>
  <c r="L800" i="2"/>
  <c r="L799" i="2"/>
  <c r="L798" i="2"/>
  <c r="L797" i="2"/>
  <c r="L796" i="2"/>
  <c r="L795" i="2"/>
  <c r="L794" i="2"/>
  <c r="L793" i="2"/>
  <c r="L792" i="2"/>
  <c r="L791" i="2"/>
  <c r="L790" i="2"/>
  <c r="L789" i="2"/>
  <c r="L788" i="2"/>
  <c r="L787" i="2"/>
  <c r="L786" i="2"/>
  <c r="L785" i="2"/>
  <c r="L784" i="2"/>
  <c r="L783" i="2"/>
  <c r="L782" i="2"/>
  <c r="L781" i="2"/>
  <c r="L780" i="2"/>
  <c r="L779" i="2"/>
  <c r="L778" i="2"/>
  <c r="L777" i="2"/>
  <c r="L776" i="2"/>
  <c r="L775" i="2"/>
  <c r="L774" i="2"/>
  <c r="L773" i="2"/>
  <c r="L772" i="2"/>
  <c r="L771" i="2"/>
  <c r="L770" i="2"/>
  <c r="L769" i="2"/>
  <c r="L768" i="2"/>
  <c r="L767" i="2"/>
  <c r="L766" i="2"/>
  <c r="L765" i="2"/>
  <c r="L764" i="2"/>
  <c r="L763" i="2"/>
  <c r="L762" i="2"/>
  <c r="L761" i="2"/>
  <c r="L760" i="2"/>
  <c r="L759" i="2"/>
  <c r="L758" i="2"/>
  <c r="L757" i="2"/>
  <c r="L756" i="2"/>
  <c r="L755" i="2"/>
  <c r="L754" i="2"/>
  <c r="L753" i="2"/>
  <c r="L752" i="2"/>
  <c r="L751" i="2"/>
  <c r="L750" i="2"/>
  <c r="L749" i="2"/>
  <c r="L748" i="2"/>
  <c r="L747" i="2"/>
  <c r="L746" i="2"/>
  <c r="L745" i="2"/>
  <c r="L744" i="2"/>
  <c r="L743" i="2"/>
  <c r="L742" i="2"/>
  <c r="L741" i="2"/>
  <c r="L740" i="2"/>
  <c r="L739" i="2"/>
  <c r="L738" i="2"/>
  <c r="L737" i="2"/>
  <c r="L736" i="2"/>
  <c r="L735" i="2"/>
  <c r="L734" i="2"/>
  <c r="L733" i="2"/>
  <c r="L732" i="2"/>
  <c r="L731" i="2"/>
  <c r="L730" i="2"/>
  <c r="L729" i="2"/>
  <c r="L728" i="2"/>
  <c r="L727" i="2"/>
  <c r="L726" i="2"/>
  <c r="L725" i="2"/>
  <c r="L724" i="2"/>
  <c r="L723" i="2"/>
  <c r="L722" i="2"/>
  <c r="L721" i="2"/>
  <c r="L720" i="2"/>
  <c r="L719" i="2"/>
  <c r="L718" i="2"/>
  <c r="L717" i="2"/>
  <c r="L716" i="2"/>
  <c r="L715" i="2"/>
  <c r="L714" i="2"/>
  <c r="L713" i="2"/>
  <c r="L712" i="2"/>
  <c r="L711" i="2"/>
  <c r="L710" i="2"/>
  <c r="L709" i="2"/>
  <c r="L708" i="2"/>
  <c r="L707" i="2"/>
  <c r="L706" i="2"/>
  <c r="L705" i="2"/>
  <c r="L704" i="2"/>
  <c r="L703" i="2"/>
  <c r="L702" i="2"/>
  <c r="L701" i="2"/>
  <c r="L700" i="2"/>
  <c r="L699" i="2"/>
  <c r="L698" i="2"/>
  <c r="L697" i="2"/>
  <c r="L696" i="2"/>
  <c r="L695" i="2"/>
  <c r="L694" i="2"/>
  <c r="L693" i="2"/>
  <c r="L692" i="2"/>
  <c r="L691" i="2"/>
  <c r="L690" i="2"/>
  <c r="L689" i="2"/>
  <c r="L688" i="2"/>
  <c r="L687" i="2"/>
  <c r="L686" i="2"/>
  <c r="L685" i="2"/>
  <c r="L684" i="2"/>
  <c r="L683" i="2"/>
  <c r="L682" i="2"/>
  <c r="L681" i="2"/>
  <c r="L680" i="2"/>
  <c r="L679" i="2"/>
  <c r="L678" i="2"/>
  <c r="L677" i="2"/>
  <c r="L676" i="2"/>
  <c r="L675" i="2"/>
  <c r="L674" i="2"/>
  <c r="L673" i="2"/>
  <c r="L672" i="2"/>
  <c r="L671" i="2"/>
  <c r="L670" i="2"/>
  <c r="L669" i="2"/>
  <c r="L668" i="2"/>
  <c r="L667" i="2"/>
  <c r="L666" i="2"/>
  <c r="L665" i="2"/>
  <c r="L664" i="2"/>
  <c r="L663" i="2"/>
  <c r="L662" i="2"/>
  <c r="L661" i="2"/>
  <c r="L660" i="2"/>
  <c r="L659" i="2"/>
  <c r="L658" i="2"/>
  <c r="L657" i="2"/>
  <c r="L656" i="2"/>
  <c r="L655" i="2"/>
  <c r="L654" i="2"/>
  <c r="L653" i="2"/>
  <c r="L652" i="2"/>
  <c r="L651" i="2"/>
  <c r="L650" i="2"/>
  <c r="L649" i="2"/>
  <c r="L648" i="2"/>
  <c r="L647" i="2"/>
  <c r="L646" i="2"/>
  <c r="L645" i="2"/>
  <c r="L644" i="2"/>
  <c r="L643" i="2"/>
  <c r="L642" i="2"/>
  <c r="L641" i="2"/>
  <c r="L640" i="2"/>
  <c r="L639" i="2"/>
  <c r="L638" i="2"/>
  <c r="L637" i="2"/>
  <c r="L636" i="2"/>
  <c r="L635" i="2"/>
  <c r="L634" i="2"/>
  <c r="L633" i="2"/>
  <c r="L632" i="2"/>
  <c r="L631" i="2"/>
  <c r="L630" i="2"/>
  <c r="L629" i="2"/>
  <c r="L628" i="2"/>
  <c r="L627" i="2"/>
  <c r="L626" i="2"/>
  <c r="L625" i="2"/>
  <c r="L624" i="2"/>
  <c r="L623" i="2"/>
  <c r="L622" i="2"/>
  <c r="L621" i="2"/>
  <c r="L620" i="2"/>
  <c r="L619" i="2"/>
  <c r="L618" i="2"/>
  <c r="L617" i="2"/>
  <c r="L616" i="2"/>
  <c r="L615" i="2"/>
  <c r="L614" i="2"/>
  <c r="L613" i="2"/>
  <c r="L612" i="2"/>
  <c r="L611" i="2"/>
  <c r="L610" i="2"/>
  <c r="L609" i="2"/>
  <c r="L608" i="2"/>
  <c r="L607" i="2"/>
  <c r="L606" i="2"/>
  <c r="L605" i="2"/>
  <c r="L604" i="2"/>
  <c r="L603" i="2"/>
  <c r="L602" i="2"/>
  <c r="L601" i="2"/>
  <c r="L600" i="2"/>
  <c r="L599" i="2"/>
  <c r="L598" i="2"/>
  <c r="L597" i="2"/>
  <c r="L596" i="2"/>
  <c r="L595" i="2"/>
  <c r="L594" i="2"/>
  <c r="L593" i="2"/>
  <c r="L592" i="2"/>
  <c r="L591" i="2"/>
  <c r="L590" i="2"/>
  <c r="L589" i="2"/>
  <c r="L588" i="2"/>
  <c r="L587" i="2"/>
  <c r="L586" i="2"/>
  <c r="L585" i="2"/>
  <c r="L584" i="2"/>
  <c r="L583" i="2"/>
  <c r="L582" i="2"/>
  <c r="L581" i="2"/>
  <c r="L580" i="2"/>
  <c r="L579" i="2"/>
  <c r="L578" i="2"/>
  <c r="L577" i="2"/>
  <c r="L576" i="2"/>
  <c r="L575" i="2"/>
  <c r="L574" i="2"/>
  <c r="L573" i="2"/>
  <c r="L572" i="2"/>
  <c r="L571" i="2"/>
  <c r="L570" i="2"/>
  <c r="L569" i="2"/>
  <c r="L568" i="2"/>
  <c r="L567" i="2"/>
  <c r="L566" i="2"/>
  <c r="L565" i="2"/>
  <c r="L564" i="2"/>
  <c r="L563" i="2"/>
  <c r="L562" i="2"/>
  <c r="L561" i="2"/>
  <c r="L560" i="2"/>
  <c r="L559" i="2"/>
  <c r="L558" i="2"/>
  <c r="L557" i="2"/>
  <c r="L556" i="2"/>
  <c r="L555" i="2"/>
  <c r="L554" i="2"/>
  <c r="L553" i="2"/>
  <c r="L552" i="2"/>
  <c r="L551" i="2"/>
  <c r="L550" i="2"/>
  <c r="L549" i="2"/>
  <c r="L548" i="2"/>
  <c r="L547" i="2"/>
  <c r="L546" i="2"/>
  <c r="L545" i="2"/>
  <c r="L544" i="2"/>
  <c r="L543" i="2"/>
  <c r="L542" i="2"/>
  <c r="L541" i="2"/>
  <c r="L540" i="2"/>
  <c r="L539" i="2"/>
  <c r="L538" i="2"/>
  <c r="L537" i="2"/>
  <c r="L536" i="2"/>
  <c r="L535" i="2"/>
  <c r="L534" i="2"/>
  <c r="L533" i="2"/>
  <c r="L532" i="2"/>
  <c r="L531" i="2"/>
  <c r="L530" i="2"/>
  <c r="L529" i="2"/>
  <c r="L528" i="2"/>
  <c r="L527" i="2"/>
  <c r="L526" i="2"/>
  <c r="L525" i="2"/>
  <c r="L524" i="2"/>
  <c r="L523" i="2"/>
  <c r="L522" i="2"/>
  <c r="L521" i="2"/>
  <c r="L520" i="2"/>
  <c r="L519" i="2"/>
  <c r="L518" i="2"/>
  <c r="L517" i="2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3" i="2"/>
  <c r="E6" i="1"/>
  <c r="F13" i="1"/>
  <c r="E16" i="1"/>
  <c r="G16" i="1"/>
  <c r="G25" i="1"/>
  <c r="G22" i="1"/>
  <c r="E25" i="1"/>
  <c r="F11" i="1"/>
  <c r="F22" i="1"/>
  <c r="E12" i="1"/>
  <c r="E18" i="1"/>
  <c r="E7" i="1"/>
  <c r="G9" i="1"/>
  <c r="F8" i="1"/>
  <c r="E14" i="1"/>
  <c r="G17" i="1"/>
  <c r="G15" i="1"/>
  <c r="G23" i="1"/>
  <c r="E15" i="1"/>
  <c r="F20" i="1"/>
  <c r="G11" i="1"/>
  <c r="G24" i="1"/>
  <c r="E13" i="1"/>
  <c r="E8" i="1"/>
  <c r="F12" i="1"/>
  <c r="G13" i="1"/>
  <c r="G19" i="1"/>
  <c r="E21" i="1"/>
  <c r="G21" i="1"/>
  <c r="F14" i="1"/>
  <c r="E23" i="1"/>
  <c r="E22" i="1"/>
  <c r="E10" i="1"/>
  <c r="E20" i="1"/>
  <c r="G7" i="1"/>
  <c r="F9" i="1"/>
  <c r="E17" i="1"/>
  <c r="E9" i="1"/>
  <c r="F7" i="1"/>
  <c r="G8" i="1"/>
  <c r="G20" i="1"/>
  <c r="F19" i="1"/>
  <c r="F25" i="1"/>
  <c r="G18" i="1"/>
  <c r="F15" i="1"/>
  <c r="E11" i="1"/>
  <c r="E24" i="1"/>
  <c r="E19" i="1"/>
  <c r="G10" i="1"/>
  <c r="G12" i="1"/>
  <c r="F16" i="1"/>
  <c r="F10" i="1"/>
  <c r="F21" i="1"/>
  <c r="F17" i="1"/>
  <c r="F18" i="1"/>
  <c r="G14" i="1"/>
  <c r="F23" i="1"/>
  <c r="F24" i="1"/>
  <c r="O2" i="2" l="1"/>
  <c r="E5" i="2" s="1"/>
  <c r="K14" i="1"/>
  <c r="K22" i="1"/>
  <c r="K24" i="1"/>
  <c r="K25" i="1"/>
  <c r="K18" i="1"/>
  <c r="K21" i="1"/>
  <c r="K15" i="1"/>
  <c r="K23" i="1"/>
  <c r="K17" i="1"/>
  <c r="K19" i="1"/>
  <c r="K20" i="1"/>
  <c r="K16" i="1"/>
  <c r="L2" i="2"/>
  <c r="E4" i="2" s="1"/>
  <c r="I2" i="2"/>
  <c r="E3" i="2" s="1"/>
  <c r="H24" i="1"/>
  <c r="I22" i="1"/>
  <c r="I21" i="1"/>
  <c r="H12" i="1"/>
  <c r="I20" i="1"/>
  <c r="I7" i="1"/>
  <c r="H17" i="1"/>
  <c r="H8" i="1"/>
  <c r="H14" i="1"/>
  <c r="I16" i="1"/>
  <c r="I12" i="1"/>
  <c r="H9" i="1"/>
  <c r="I25" i="1"/>
  <c r="H20" i="1"/>
  <c r="I18" i="1"/>
  <c r="H25" i="1"/>
  <c r="H18" i="1"/>
  <c r="I15" i="1"/>
  <c r="H10" i="1"/>
  <c r="H21" i="1"/>
  <c r="H11" i="1"/>
  <c r="I13" i="1"/>
  <c r="I8" i="1"/>
  <c r="H16" i="1"/>
  <c r="H7" i="1"/>
  <c r="I9" i="1"/>
  <c r="I10" i="1"/>
  <c r="H23" i="1"/>
  <c r="I17" i="1"/>
  <c r="H19" i="1"/>
  <c r="H13" i="1"/>
  <c r="I23" i="1"/>
  <c r="I14" i="1"/>
  <c r="H15" i="1"/>
  <c r="H22" i="1"/>
  <c r="I24" i="1"/>
  <c r="I19" i="1"/>
  <c r="I11" i="1"/>
  <c r="F6" i="1"/>
  <c r="G6" i="1"/>
  <c r="D5" i="2" l="1"/>
  <c r="O7" i="1"/>
  <c r="O9" i="1"/>
  <c r="O10" i="1"/>
  <c r="O6" i="1"/>
  <c r="O8" i="1"/>
  <c r="O13" i="1"/>
  <c r="O12" i="1"/>
  <c r="O20" i="1"/>
  <c r="O24" i="1"/>
  <c r="O25" i="1"/>
  <c r="O19" i="1"/>
  <c r="O22" i="1"/>
  <c r="O16" i="1"/>
  <c r="O17" i="1"/>
  <c r="O14" i="1"/>
  <c r="O23" i="1"/>
  <c r="D4" i="2"/>
  <c r="O15" i="1"/>
  <c r="O21" i="1"/>
  <c r="D3" i="2"/>
  <c r="O18" i="1"/>
  <c r="I6" i="1"/>
  <c r="H6" i="1"/>
  <c r="M10" i="1" l="1"/>
  <c r="M7" i="1"/>
  <c r="M12" i="1"/>
  <c r="M13" i="1"/>
  <c r="M6" i="1"/>
  <c r="M8" i="1"/>
  <c r="M9" i="1"/>
</calcChain>
</file>

<file path=xl/sharedStrings.xml><?xml version="1.0" encoding="utf-8"?>
<sst xmlns="http://schemas.openxmlformats.org/spreadsheetml/2006/main" count="77" uniqueCount="51">
  <si>
    <t>NCEDate</t>
  </si>
  <si>
    <t>Bond</t>
  </si>
  <si>
    <t>REDate</t>
  </si>
  <si>
    <t>T2R</t>
  </si>
  <si>
    <t>T2N</t>
  </si>
  <si>
    <t>CpnRate</t>
  </si>
  <si>
    <t>Y + 2*SD(Year)</t>
  </si>
  <si>
    <t>Status</t>
  </si>
  <si>
    <t>Available</t>
  </si>
  <si>
    <t>As Of Date:</t>
  </si>
  <si>
    <t>Price</t>
  </si>
  <si>
    <t>Purchase Price / Offer</t>
  </si>
  <si>
    <t>T2MM</t>
  </si>
  <si>
    <t>CW_15-I.E</t>
  </si>
  <si>
    <t>HALC13-1.D</t>
  </si>
  <si>
    <t>MRTHN10.D</t>
  </si>
  <si>
    <t>OZLM_12.D</t>
  </si>
  <si>
    <t>SHACKLE3.FR</t>
  </si>
  <si>
    <t>TCWR13-1.DR</t>
  </si>
  <si>
    <t>VENT_14.ER</t>
  </si>
  <si>
    <t>BBB</t>
  </si>
  <si>
    <t>BB</t>
  </si>
  <si>
    <t>B</t>
  </si>
  <si>
    <t>Current</t>
  </si>
  <si>
    <t>+2sd(year)</t>
  </si>
  <si>
    <t>CMBLDPK.ER</t>
  </si>
  <si>
    <t>Y + 2*SD(Quarter)</t>
  </si>
  <si>
    <t>+2sd(qtr)</t>
  </si>
  <si>
    <t>Current Required DM (Y)</t>
  </si>
  <si>
    <t>DM</t>
  </si>
  <si>
    <t>100.85% / 102.62%</t>
  </si>
  <si>
    <t>100.71% / 102.64%</t>
  </si>
  <si>
    <t>100.91% / 102.86%</t>
  </si>
  <si>
    <t>100.88% / 102.83%</t>
  </si>
  <si>
    <t>101.41% / 103.44%</t>
  </si>
  <si>
    <t>101.21% / 103.28%</t>
  </si>
  <si>
    <t>99.26% / 100.91%</t>
  </si>
  <si>
    <t>100.75% / 102.48%</t>
  </si>
  <si>
    <t>100.55% / 102.31%</t>
  </si>
  <si>
    <t>100.34% / 101.66%</t>
  </si>
  <si>
    <t>99.65% / 101.41%</t>
  </si>
  <si>
    <t>100.42% / 102.44%</t>
  </si>
  <si>
    <t>101.40% / 102.90%</t>
  </si>
  <si>
    <t>101.37% / 103.11%</t>
  </si>
  <si>
    <t>101.31% / 103.16%</t>
  </si>
  <si>
    <t>100.44% / 102.35%</t>
  </si>
  <si>
    <t>100.56% / 102.65%</t>
  </si>
  <si>
    <t>101.10% / 103.21%</t>
  </si>
  <si>
    <t>100.48% / 101.53%</t>
  </si>
  <si>
    <t>99.93% / 101.65%</t>
  </si>
  <si>
    <t>100.77% / 102.88%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</si>
</sst>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%"/>
    <numFmt numFmtId="165" formatCode="0.000%"/>
    <numFmt numFmtId="166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10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 vertical="center"/>
    </xf>
    <xf numFmtId="10" fontId="0" fillId="0" borderId="0" xfId="1" applyNumberFormat="1" applyFont="1"/>
    <xf numFmtId="10" fontId="0" fillId="0" borderId="0" xfId="1" applyNumberFormat="1" applyFont="1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0" xfId="0" quotePrefix="1"/>
    <xf numFmtId="2" fontId="0" fillId="0" borderId="0" xfId="0" applyNumberFormat="1"/>
    <xf numFmtId="166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">
    <dxf>
      <font>
        <color theme="4" tint="-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58FF7EC9-0DD2-4967-9B8A-8DD6239A1F79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sa.exceladdin.rtdserver">
      <tp t="s">
        <v>Deal not found or permission denied.</v>
        <stp/>
        <stp>dce9435d-9ae8-4285-aa90-8c6f607d6994</stp>
        <stp>4b1c60a656195a9420f6503234afda63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4" s="1"/>
      </tp>
      <tp t="s">
        <v>Deal not found or permission denied.</v>
        <stp/>
        <stp>dce9435d-9ae8-4285-aa90-8c6f607d6994</stp>
        <stp>87ae7f0a7fb66a221eef495d9cea394e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7" s="1"/>
      </tp>
      <tp t="s">
        <v>Deal not found or permission denied.</v>
        <stp/>
        <stp>dce9435d-9ae8-4285-aa90-8c6f607d6994</stp>
        <stp>bd60d812f7899ff49ed29435f9e7d781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8" s="1"/>
      </tp>
      <tp>
        <v>44762</v>
        <stp/>
        <stp>dce9435d-9ae8-4285-aa90-8c6f607d6994</stp>
        <stp>daef0dae1d3894fde02fe482bc606767</stp>
        <stp>0</stp>
        <stp>0</stp>
        <stp>DealData</stp>
        <stp>TCWR13-1.DR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2" s="1"/>
      </tp>
      <tp t="s">
        <v>Deal not found or permission denied.</v>
        <stp/>
        <stp>dce9435d-9ae8-4285-aa90-8c6f607d6994</stp>
        <stp>ddfc5b7ea5dba4cab0611d0642136272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1" s="1"/>
      </tp>
      <tp>
        <v>43577</v>
        <stp/>
        <stp>dce9435d-9ae8-4285-aa90-8c6f607d6994</stp>
        <stp>1b13b8154dc7675653cd5d39fa7fec7f</stp>
        <stp>0</stp>
        <stp>0</stp>
        <stp>DealData</stp>
        <stp>TCWR13-1.DR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2" s="1"/>
      </tp>
      <tp>
        <v>42706</v>
        <stp/>
        <stp>dce9435d-9ae8-4285-aa90-8c6f607d6994</stp>
        <stp>3f8708cdb88a6ae633995666d7ebe1fa</stp>
        <stp>0</stp>
        <stp>0</stp>
        <stp>DealData</stp>
        <stp>CW_15-I.E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7" s="1"/>
      </tp>
      <tp t="s">
        <v>Deal not found or permission denied.</v>
        <stp/>
        <stp>dce9435d-9ae8-4285-aa90-8c6f607d6994</stp>
        <stp>e34003d9bd110f0a07261d3cffb03aad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5" s="1"/>
      </tp>
      <tp t="s">
        <v>Deal not found or permission denied.</v>
        <stp/>
        <stp>dce9435d-9ae8-4285-aa90-8c6f607d6994</stp>
        <stp>e1978a742be2bb5e66632007f9c996cc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0" s="1"/>
      </tp>
      <tp>
        <v>6.3</v>
        <stp/>
        <stp>dce9435d-9ae8-4285-aa90-8c6f607d6994</stp>
        <stp>cc07c41d2998fe929d88ad73f980cad7</stp>
        <stp>0</stp>
        <stp>0</stp>
        <stp>BondData</stp>
        <stp>TCWR13-1.DR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2" s="1"/>
      </tp>
      <tp t="s">
        <v>Deal not found or permission denied.</v>
        <stp/>
        <stp>dce9435d-9ae8-4285-aa90-8c6f607d6994</stp>
        <stp>b87ca2bb5f16da747cb74c2f94ececb4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2" s="1"/>
      </tp>
      <tp>
        <v>42019</v>
        <stp/>
        <stp>dce9435d-9ae8-4285-aa90-8c6f607d6994</stp>
        <stp>b1a280e942734fd60e500791d776e9ba</stp>
        <stp>0</stp>
        <stp>0</stp>
        <stp>DealData</stp>
        <stp>HALC13-1.D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8" s="1"/>
      </tp>
      <tp t="s">
        <v>Deal not found or permission denied.</v>
        <stp/>
        <stp>dce9435d-9ae8-4285-aa90-8c6f607d6994</stp>
        <stp>6426d4105dceded80255b9225fedd296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9" s="1"/>
      </tp>
      <tp>
        <v>44757</v>
        <stp/>
        <stp>1f02a225-eeea-4a95-a963-29ecba49a274</stp>
        <stp>950c8aecfc8efc1a2fc0bad3e5754aa8</stp>
        <stp>0</stp>
        <stp>0</stp>
        <stp>DealData</stp>
        <stp>SHACKLE3.FR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1" s="1"/>
      </tp>
      <tp>
        <v>5.4</v>
        <stp/>
        <stp>dce9435d-9ae8-4285-aa90-8c6f607d6994</stp>
        <stp>e6093571c337be25fb342117abf0c93f</stp>
        <stp>0</stp>
        <stp>0</stp>
        <stp>BondData</stp>
        <stp>OZLM_12.D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0" s="1"/>
      </tp>
      <tp>
        <v>44515</v>
        <stp/>
        <stp>dce9435d-9ae8-4285-aa90-8c6f607d6994</stp>
        <stp>6e204463dbd7a9524ae2b09d45ff705d</stp>
        <stp>0</stp>
        <stp>0</stp>
        <stp>DealData</stp>
        <stp>MRTHN10.D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9" s="1"/>
      </tp>
      <tp>
        <v>6</v>
        <stp/>
        <stp>dce9435d-9ae8-4285-aa90-8c6f607d6994</stp>
        <stp>5d1196e97827a9060cf91f944956e555</stp>
        <stp>0</stp>
        <stp>0</stp>
        <stp>BondData</stp>
        <stp>CW_15-I.E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7" s="1"/>
      </tp>
      <tp t="s">
        <v>Deal not found or permission denied.</v>
        <stp/>
        <stp>dce9435d-9ae8-4285-aa90-8c6f607d6994</stp>
        <stp>9a8fe3695b42848e1d97c771d84dd00d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1" s="1"/>
      </tp>
      <tp t="s">
        <v>Deal not found or permission denied.</v>
        <stp/>
        <stp>dce9435d-9ae8-4285-aa90-8c6f607d6994</stp>
        <stp>82380b1e89a049765b1e3f901a0e71dc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8" s="1"/>
      </tp>
      <tp t="s">
        <v>Deal not found or permission denied.</v>
        <stp/>
        <stp>dce9435d-9ae8-4285-aa90-8c6f607d6994</stp>
        <stp>924c52dba0e6d973a9c1c27a6e84d9e5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3" s="1"/>
      </tp>
      <tp t="s">
        <v>Deal not found or permission denied.</v>
        <stp/>
        <stp>dce9435d-9ae8-4285-aa90-8c6f607d6994</stp>
        <stp>970c9344288972d1205c167741f58e6a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0" s="1"/>
      </tp>
      <tp t="s">
        <v>Deal not found or permission denied.</v>
        <stp/>
        <stp>dce9435d-9ae8-4285-aa90-8c6f607d6994</stp>
        <stp>36967372cda433b11b44343834268e5f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5" s="1"/>
      </tp>
      <tp t="s">
        <v>Deal not found or permission denied.</v>
        <stp/>
        <stp>dce9435d-9ae8-4285-aa90-8c6f607d6994</stp>
        <stp>ac530b5dbe564796e9ee3d4c35d14482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5" s="1"/>
      </tp>
      <tp>
        <v>8.02</v>
        <stp/>
        <stp>1f02a225-eeea-4a95-a963-29ecba49a274</stp>
        <stp>ac001b260d3f86c195615c176f36a755</stp>
        <stp>0</stp>
        <stp>0</stp>
        <stp>BondData</stp>
        <stp>SHACKLE3.FR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1" s="1"/>
      </tp>
      <tp t="s">
        <v>Deal not found or permission denied.</v>
        <stp/>
        <stp>dce9435d-9ae8-4285-aa90-8c6f607d6994</stp>
        <stp>ed0161302e3535b6695b4f2b02cb6d60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4" s="1"/>
      </tp>
      <tp>
        <v>43951</v>
        <stp/>
        <stp>dce9435d-9ae8-4285-aa90-8c6f607d6994</stp>
        <stp>393bd0a66e6c06ca7f17c6bd73843ccb</stp>
        <stp>0</stp>
        <stp>0</stp>
        <stp>DealData</stp>
        <stp>OZLM_12.D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0" s="1"/>
      </tp>
      <tp t="s">
        <v>Deal not found or permission denied.</v>
        <stp/>
        <stp>dce9435d-9ae8-4285-aa90-8c6f607d6994</stp>
        <stp>b38ae0f9ed94a74158fdde3441ed42a1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9" s="1"/>
      </tp>
      <tp>
        <v>43130</v>
        <stp/>
        <stp>dce9435d-9ae8-4285-aa90-8c6f607d6994</stp>
        <stp>f6ba3b1eda55a34da665a2e04fc6a67d</stp>
        <stp>0</stp>
        <stp>0</stp>
        <stp>DealData</stp>
        <stp>OZLM_12.D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0" s="1"/>
      </tp>
      <tp>
        <v>43692</v>
        <stp/>
        <stp>dce9435d-9ae8-4285-aa90-8c6f607d6994</stp>
        <stp>46de8e33f42d50501a2847a1af60b2d3</stp>
        <stp>0</stp>
        <stp>0</stp>
        <stp>DealData</stp>
        <stp>MRTHN10.D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9" s="1"/>
      </tp>
      <tp t="s">
        <v>Deal not found or permission denied.</v>
        <stp/>
        <stp>dce9435d-9ae8-4285-aa90-8c6f607d6994</stp>
        <stp>3575dd255e9df23543786870e517ee9d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22" s="1"/>
      </tp>
      <tp>
        <v>42840</v>
        <stp/>
        <stp>dce9435d-9ae8-4285-aa90-8c6f607d6994</stp>
        <stp>4853f1e857a94702cbda6c1678f1eb12</stp>
        <stp>0</stp>
        <stp>0</stp>
        <stp>DealData</stp>
        <stp>HALC13-1.D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8" s="1"/>
      </tp>
      <tp t="s">
        <v>Deal not found or permission denied.</v>
        <stp/>
        <stp>dce9435d-9ae8-4285-aa90-8c6f607d6994</stp>
        <stp>e98bc5e1286078925e81bb4cc697fb92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4" s="1"/>
      </tp>
      <tp t="s">
        <v>Deal not found or permission denied.</v>
        <stp/>
        <stp>dce9435d-9ae8-4285-aa90-8c6f607d6994</stp>
        <stp>95d83de984baf58ae2c4c6ade74db477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4" s="1"/>
      </tp>
      <tp t="s">
        <v>Deal not found or permission denied.</v>
        <stp/>
        <stp>dce9435d-9ae8-4285-aa90-8c6f607d6994</stp>
        <stp>0f60561d588a9a0ad5724bb780f564a1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6" s="1"/>
      </tp>
      <tp t="s">
        <v>Deal not found or permission denied.</v>
        <stp/>
        <stp>dce9435d-9ae8-4285-aa90-8c6f607d6994</stp>
        <stp>1605e4f22da7598a809c8607837472c1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2" s="1"/>
      </tp>
      <tp>
        <v>43487</v>
        <stp/>
        <stp>dce9435d-9ae8-4285-aa90-8c6f607d6994</stp>
        <stp>2cbf9803493c3fb4e218530a400400bf</stp>
        <stp>0</stp>
        <stp>0</stp>
        <stp>DealData</stp>
        <stp>CMBLDPK.ER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6" s="1"/>
      </tp>
      <tp>
        <v>43941</v>
        <stp/>
        <stp>dce9435d-9ae8-4285-aa90-8c6f607d6994</stp>
        <stp>b75237951912bd4b4637cacbf483e2f5</stp>
        <stp>0</stp>
        <stp>0</stp>
        <stp>DealData</stp>
        <stp>CMBLDPK.ER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6" s="1"/>
      </tp>
      <tp>
        <v>4.75</v>
        <stp/>
        <stp>dce9435d-9ae8-4285-aa90-8c6f607d6994</stp>
        <stp>4cbee2f400b1d1a46906f8b76df79bf9</stp>
        <stp>0</stp>
        <stp>0</stp>
        <stp>BondData</stp>
        <stp>HALC13-1.D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8" s="1"/>
      </tp>
      <tp>
        <v>43613</v>
        <stp/>
        <stp>dce9435d-9ae8-4285-aa90-8c6f607d6994</stp>
        <stp>695314e5f5618ebd23a3fdca870bc6c7</stp>
        <stp>0</stp>
        <stp>0</stp>
        <stp>DealData</stp>
        <stp>VENT_14.ER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3" s="1"/>
      </tp>
      <tp t="s">
        <v>Deal not found or permission denied.</v>
        <stp/>
        <stp>dce9435d-9ae8-4285-aa90-8c6f607d6994</stp>
        <stp>7ed80445a445d5305bfd12181dac8eb3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3" s="1"/>
      </tp>
      <tp t="s">
        <v>Deal not found or permission denied.</v>
        <stp/>
        <stp>dce9435d-9ae8-4285-aa90-8c6f607d6994</stp>
        <stp>192a7fad1cc47080af7954d81964ea34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6" s="1"/>
      </tp>
      <tp t="s">
        <v>Deal not found or permission denied.</v>
        <stp/>
        <stp>dce9435d-9ae8-4285-aa90-8c6f607d6994</stp>
        <stp>ab385b91e5dd5bb3f0233d40a130c58b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4" s="1"/>
      </tp>
      <tp t="s">
        <v>Deal not found or permission denied.</v>
        <stp/>
        <stp>dce9435d-9ae8-4285-aa90-8c6f607d6994</stp>
        <stp>ed3f6a88d236cdedfe9718699380a593</stp>
        <stp>0</stp>
        <stp>0</stp>
        <stp>BondData</stp>
        <stp/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25" s="1"/>
      </tp>
      <tp>
        <v>7.08</v>
        <stp/>
        <stp>dce9435d-9ae8-4285-aa90-8c6f607d6994</stp>
        <stp>84061e27d95664e27459bd9d13fb7b0d</stp>
        <stp>0</stp>
        <stp>0</stp>
        <stp>BondData</stp>
        <stp>VENT_14.ER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13" s="1"/>
      </tp>
      <tp>
        <v>6.37</v>
        <stp/>
        <stp>dce9435d-9ae8-4285-aa90-8c6f607d6994</stp>
        <stp>290d0cbf8f5e896bfa3344fb68e5a6c8</stp>
        <stp>0</stp>
        <stp>0</stp>
        <stp>BondData</stp>
        <stp>MRTHN10.D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9" s="1"/>
      </tp>
      <tp>
        <v>44438</v>
        <stp/>
        <stp>dce9435d-9ae8-4285-aa90-8c6f607d6994</stp>
        <stp>4e78f1f8d90333ad50acc74aa84020c8</stp>
        <stp>0</stp>
        <stp>0</stp>
        <stp>DealData</stp>
        <stp>VENT_14.ER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3" s="1"/>
      </tp>
      <tp t="s">
        <v>Deal not found or permission denied.</v>
        <stp/>
        <stp>dce9435d-9ae8-4285-aa90-8c6f607d6994</stp>
        <stp>b004b63b5bd32c650c143366455137e2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5" s="1"/>
      </tp>
      <tp t="s">
        <v>Deal not found or permission denied.</v>
        <stp/>
        <stp>dce9435d-9ae8-4285-aa90-8c6f607d6994</stp>
        <stp>97b2fb86eb88b9c3780bc2cd8dc42c8b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3" s="1"/>
      </tp>
      <tp t="s">
        <v>Deal not found or permission denied.</v>
        <stp/>
        <stp>dce9435d-9ae8-4285-aa90-8c6f607d6994</stp>
        <stp>26e85599816e47e806eaf702601dbbe8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5" s="1"/>
      </tp>
      <tp t="s">
        <v>Deal not found or permission denied.</v>
        <stp/>
        <stp>dce9435d-9ae8-4285-aa90-8c6f607d6994</stp>
        <stp>103cb0c9b1bd9efe41bc66031d9a2170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0" s="1"/>
      </tp>
      <tp>
        <v>5.65</v>
        <stp/>
        <stp>dce9435d-9ae8-4285-aa90-8c6f607d6994</stp>
        <stp>c9ffa3918af88ed4bb3f46388b835a35</stp>
        <stp>0</stp>
        <stp>0</stp>
        <stp>BondData</stp>
        <stp>CMBLDPK.ER</stp>
        <stp>1</stp>
        <stp>System.String#Spread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E6" s="1"/>
      </tp>
      <tp t="s">
        <v>Deal not found or permission denied.</v>
        <stp/>
        <stp>dce9435d-9ae8-4285-aa90-8c6f607d6994</stp>
        <stp>5018f280ac937b0ee6d68795b5af0bcf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7" s="1"/>
      </tp>
      <tp t="s">
        <v>Deal not found or permission denied.</v>
        <stp/>
        <stp>dce9435d-9ae8-4285-aa90-8c6f607d6994</stp>
        <stp>3841d7b191535a1076d3144a3d0ed37e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8" s="1"/>
      </tp>
      <tp t="s">
        <v>Deal not found or permission denied.</v>
        <stp/>
        <stp>dce9435d-9ae8-4285-aa90-8c6f607d6994</stp>
        <stp>000e3873f3125a2796570c01a0502735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21" s="1"/>
      </tp>
      <tp t="s">
        <v>Deal not found or permission denied.</v>
        <stp/>
        <stp>dce9435d-9ae8-4285-aa90-8c6f607d6994</stp>
        <stp>7dd9e63d884bf20ee62df4d7eddbf844</stp>
        <stp>0</stp>
        <stp>0</stp>
        <stp>DealData</stp>
        <stp/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9" s="1"/>
      </tp>
      <tp>
        <v>43661</v>
        <stp/>
        <stp>dce9435d-9ae8-4285-aa90-8c6f607d6994</stp>
        <stp>043f9ebb4497598a712a8aacf1bf1e30</stp>
        <stp>0</stp>
        <stp>0</stp>
        <stp>DealData</stp>
        <stp>CW_15-I.E</stp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7" s="1"/>
      </tp>
      <tp t="s">
        <v>Deal not found or permission denied.</v>
        <stp/>
        <stp>dce9435d-9ae8-4285-aa90-8c6f607d6994</stp>
        <stp>3b36f53b82eaf28035d2b1138a1000ee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4" s="1"/>
      </tp>
      <tp t="s">
        <v>Deal not found or permission denied.</v>
        <stp/>
        <stp>dce9435d-9ae8-4285-aa90-8c6f607d6994</stp>
        <stp>8c02311da8e881e890c684cd61ed4458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6" s="1"/>
      </tp>
      <tp t="s">
        <v>Deal not found or permission denied.</v>
        <stp/>
        <stp>dce9435d-9ae8-4285-aa90-8c6f607d6994</stp>
        <stp>40e3d7b44c0da648deb4106bb42d0674</stp>
        <stp>0</stp>
        <stp>0</stp>
        <stp>DealData</stp>
        <stp/>
        <stp>1</stp>
        <stp>System.String#ReinvestmentEndDate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F17" s="1"/>
      </tp>
      <tp>
        <v>43936</v>
        <stp/>
        <stp>1f02a225-eeea-4a95-a963-29ecba49a274</stp>
        <stp>f546896fb0fc8905af52c7d24bf85d8c</stp>
        <stp>0</stp>
        <stp>0</stp>
        <stp>DealData</stp>
        <stp>SHACKLE3.FR</stp>
        <stp>1</stp>
        <stp>System.String#NoCallEndDate</stp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stp/>
        <tr r="G11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7C223-0466-47CC-BEC5-89FE582A9978}">
  <sheetPr codeName="Sheet1"/>
  <dimension ref="A1:Q25"/>
  <sheetViews>
    <sheetView tabSelected="1" zoomScale="85" zoomScaleNormal="85" workbookViewId="0">
      <selection activeCell="H10" sqref="H10"/>
    </sheetView>
  </sheetViews>
  <sheetFormatPr defaultRowHeight="15" x14ac:dyDescent="0.25"/>
  <cols>
    <col min="1" max="1" width="10.7109375" bestFit="1" customWidth="1"/>
    <col min="2" max="2" width="15" customWidth="1"/>
    <col min="3" max="3" width="15" style="7" customWidth="1"/>
    <col min="4" max="4" width="22.42578125" customWidth="1"/>
    <col min="5" max="5" width="15.140625" customWidth="1"/>
    <col min="6" max="7" width="14.42578125" style="2" customWidth="1"/>
    <col min="10" max="10" width="0" hidden="1" customWidth="1"/>
    <col min="11" max="11" width="13.28515625" customWidth="1"/>
    <col min="12" max="12" width="22.140625" customWidth="1"/>
    <col min="13" max="13" width="13.28515625" customWidth="1"/>
    <col min="14" max="14" width="22.140625" customWidth="1"/>
    <col min="15" max="15" width="13.28515625" customWidth="1"/>
    <col min="16" max="16" width="20.28515625" customWidth="1"/>
  </cols>
  <sheetData>
    <row r="1" spans="1:17" x14ac:dyDescent="0.25">
      <c r="B1" s="3"/>
      <c r="D1" s="3"/>
      <c r="E1" s="3"/>
      <c r="F1" s="13"/>
      <c r="G1" s="13"/>
      <c r="H1" s="3"/>
      <c r="I1" s="3"/>
      <c r="J1" s="3"/>
      <c r="K1" s="3"/>
      <c r="L1" s="3"/>
      <c r="M1" s="3"/>
      <c r="N1" s="3"/>
      <c r="O1" s="3"/>
      <c r="P1" s="3"/>
      <c r="Q1" s="3"/>
    </row>
    <row r="2" spans="1:17" x14ac:dyDescent="0.25">
      <c r="A2" s="2"/>
      <c r="B2" s="4"/>
      <c r="D2" s="4"/>
      <c r="E2" s="4"/>
      <c r="F2" s="5"/>
      <c r="G2" s="5"/>
      <c r="H2" s="4"/>
      <c r="I2" s="4"/>
      <c r="J2" s="4"/>
      <c r="K2" s="4"/>
      <c r="L2" s="4"/>
      <c r="M2" s="4"/>
      <c r="N2" s="4"/>
      <c r="O2" s="5"/>
      <c r="P2" s="4"/>
      <c r="Q2" s="4"/>
    </row>
    <row r="3" spans="1:17" x14ac:dyDescent="0.25">
      <c r="A3" s="2"/>
      <c r="B3" s="4"/>
      <c r="D3" s="4"/>
      <c r="E3" s="4"/>
      <c r="F3" s="5"/>
      <c r="G3" s="5"/>
      <c r="H3" s="4"/>
      <c r="I3" s="4"/>
      <c r="J3" s="4"/>
      <c r="K3" s="4"/>
      <c r="L3" s="4"/>
      <c r="M3" s="4"/>
      <c r="N3" s="4"/>
      <c r="O3" s="5"/>
      <c r="P3" s="4"/>
      <c r="Q3" s="4"/>
    </row>
    <row r="4" spans="1:17" x14ac:dyDescent="0.25">
      <c r="A4" s="2"/>
      <c r="B4" s="4" t="s">
        <v>9</v>
      </c>
      <c r="C4" s="10">
        <v>43292</v>
      </c>
      <c r="D4" s="4"/>
      <c r="E4" s="4"/>
      <c r="F4" s="5"/>
      <c r="G4" s="5"/>
      <c r="H4" s="4"/>
      <c r="I4" s="4"/>
      <c r="J4" s="4"/>
      <c r="K4" s="27" t="s">
        <v>28</v>
      </c>
      <c r="L4" s="27"/>
      <c r="M4" s="27" t="s">
        <v>26</v>
      </c>
      <c r="N4" s="27"/>
      <c r="O4" s="28" t="s">
        <v>6</v>
      </c>
      <c r="P4" s="28"/>
      <c r="Q4" s="4"/>
    </row>
    <row r="5" spans="1:17" s="1" customFormat="1" x14ac:dyDescent="0.25">
      <c r="A5" s="6"/>
      <c r="B5" s="9" t="s">
        <v>7</v>
      </c>
      <c r="C5" s="8" t="s">
        <v>1</v>
      </c>
      <c r="D5" s="8" t="s">
        <v>11</v>
      </c>
      <c r="E5" s="8" t="s">
        <v>5</v>
      </c>
      <c r="F5" s="14" t="s">
        <v>2</v>
      </c>
      <c r="G5" s="14" t="s">
        <v>0</v>
      </c>
      <c r="H5" s="8" t="s">
        <v>3</v>
      </c>
      <c r="I5" s="8" t="s">
        <v>4</v>
      </c>
      <c r="J5" s="11" t="s">
        <v>12</v>
      </c>
      <c r="K5" s="8" t="s">
        <v>29</v>
      </c>
      <c r="L5" s="8" t="s">
        <v>10</v>
      </c>
      <c r="M5" s="8" t="s">
        <v>29</v>
      </c>
      <c r="N5" s="8" t="s">
        <v>10</v>
      </c>
      <c r="O5" s="8" t="s">
        <v>29</v>
      </c>
      <c r="P5" s="8" t="s">
        <v>10</v>
      </c>
    </row>
    <row r="6" spans="1:17" x14ac:dyDescent="0.25">
      <c r="A6" s="2"/>
      <c r="B6" s="7" t="s">
        <v>8</v>
      </c>
      <c r="C6" s="7" t="s">
        <v>25</v>
      </c>
      <c r="D6" s="20">
        <v>1.0034000000000001</v>
      </c>
      <c r="E6" s="17">
        <f>_xll.WSA.ExcelAddIn.Functions.BondData(C6,"Spread")/100</f>
        <v>5.6500000000000002E-2</v>
      </c>
      <c r="F6" s="10">
        <f>_xll.WSA.ExcelAddIn.Functions.DealData(C6,"ReinvestmentEndDate")</f>
        <v>43941</v>
      </c>
      <c r="G6" s="10">
        <f>_xll.WSA.ExcelAddIn.Functions.DealData(C6,"NoCallEndDate")</f>
        <v>43487</v>
      </c>
      <c r="H6" s="12">
        <f>(F6-$C$4)/365.25</f>
        <v>1.7768651608487338</v>
      </c>
      <c r="I6" s="12">
        <f>(G6-$C$4)/365.25</f>
        <v>0.53388090349075978</v>
      </c>
      <c r="J6" s="4"/>
      <c r="K6" s="17">
        <v>6.9739999999999996E-2</v>
      </c>
      <c r="L6" s="21" t="s">
        <v>30</v>
      </c>
      <c r="M6" s="19">
        <f>K6+Control!$D$4%%</f>
        <v>7.8217540874121555E-2</v>
      </c>
      <c r="N6" s="21" t="s">
        <v>31</v>
      </c>
      <c r="O6" s="19">
        <f>K6+Control!$E$4%%</f>
        <v>8.6627665649252977E-2</v>
      </c>
      <c r="P6" s="17" t="s">
        <v>32</v>
      </c>
      <c r="Q6" s="4"/>
    </row>
    <row r="7" spans="1:17" x14ac:dyDescent="0.25">
      <c r="A7" s="2"/>
      <c r="B7" s="7" t="s">
        <v>8</v>
      </c>
      <c r="C7" s="7" t="s">
        <v>13</v>
      </c>
      <c r="D7" s="20">
        <v>1.0009999999999999</v>
      </c>
      <c r="E7" s="17">
        <f>_xll.WSA.ExcelAddIn.Functions.BondData(C7,"Spread")/100</f>
        <v>0.06</v>
      </c>
      <c r="F7" s="10">
        <f>_xll.WSA.ExcelAddIn.Functions.DealData(C7,"ReinvestmentEndDate")</f>
        <v>43661</v>
      </c>
      <c r="G7" s="10">
        <f>_xll.WSA.ExcelAddIn.Functions.DealData(C7,"NoCallEndDate")</f>
        <v>42706</v>
      </c>
      <c r="H7" s="12">
        <f t="shared" ref="H7:H13" si="0">(F7-$C$4)/365.25</f>
        <v>1.0102669404517455</v>
      </c>
      <c r="I7" s="12">
        <f t="shared" ref="I7:I13" si="1">(G7-$C$4)/365.25</f>
        <v>-1.6043805612594113</v>
      </c>
      <c r="J7" s="4"/>
      <c r="K7" s="17">
        <v>7.2979520000000006E-2</v>
      </c>
      <c r="L7" s="21" t="s">
        <v>33</v>
      </c>
      <c r="M7" s="19">
        <f>K7+Control!$D$4%%</f>
        <v>8.1457060874121565E-2</v>
      </c>
      <c r="N7" s="21" t="s">
        <v>34</v>
      </c>
      <c r="O7" s="19">
        <f>K7+Control!$E$4%%</f>
        <v>8.9867185649252987E-2</v>
      </c>
      <c r="P7" s="17" t="s">
        <v>35</v>
      </c>
      <c r="Q7" s="4"/>
    </row>
    <row r="8" spans="1:17" x14ac:dyDescent="0.25">
      <c r="A8" s="2"/>
      <c r="B8" s="7" t="s">
        <v>8</v>
      </c>
      <c r="C8" s="7" t="s">
        <v>14</v>
      </c>
      <c r="D8" s="20">
        <v>0.95</v>
      </c>
      <c r="E8" s="17">
        <f>_xll.WSA.ExcelAddIn.Functions.BondData(C8,"Spread")/100</f>
        <v>4.7500000000000001E-2</v>
      </c>
      <c r="F8" s="10">
        <f>_xll.WSA.ExcelAddIn.Functions.DealData(C8,"ReinvestmentEndDate")</f>
        <v>42840</v>
      </c>
      <c r="G8" s="10">
        <f>_xll.WSA.ExcelAddIn.Functions.DealData(C8,"NoCallEndDate")</f>
        <v>42019</v>
      </c>
      <c r="H8" s="12">
        <f t="shared" si="0"/>
        <v>-1.2375085557837098</v>
      </c>
      <c r="I8" s="12">
        <f t="shared" si="1"/>
        <v>-3.485284052019165</v>
      </c>
      <c r="J8" s="4"/>
      <c r="K8" s="17">
        <v>7.4327400000000002E-2</v>
      </c>
      <c r="L8" s="21" t="s">
        <v>36</v>
      </c>
      <c r="M8" s="19">
        <f>K8+Control!$D$4%%</f>
        <v>8.280494087412156E-2</v>
      </c>
      <c r="N8" s="21" t="s">
        <v>37</v>
      </c>
      <c r="O8" s="19">
        <f>K8+Control!$E$4%%</f>
        <v>9.1215065649252983E-2</v>
      </c>
      <c r="P8" s="17" t="s">
        <v>38</v>
      </c>
      <c r="Q8" s="4"/>
    </row>
    <row r="9" spans="1:17" x14ac:dyDescent="0.25">
      <c r="A9" s="2"/>
      <c r="B9" s="7" t="s">
        <v>8</v>
      </c>
      <c r="C9" s="7" t="s">
        <v>15</v>
      </c>
      <c r="D9" s="20">
        <v>1</v>
      </c>
      <c r="E9" s="17">
        <f>_xll.WSA.ExcelAddIn.Functions.BondData(C9,"Spread")/100</f>
        <v>6.3700000000000007E-2</v>
      </c>
      <c r="F9" s="10">
        <f>_xll.WSA.ExcelAddIn.Functions.DealData(C9,"ReinvestmentEndDate")</f>
        <v>44515</v>
      </c>
      <c r="G9" s="10">
        <f>_xll.WSA.ExcelAddIn.Functions.DealData(C9,"NoCallEndDate")</f>
        <v>43692</v>
      </c>
      <c r="H9" s="12">
        <f t="shared" si="0"/>
        <v>3.3483915126625599</v>
      </c>
      <c r="I9" s="12">
        <f t="shared" si="1"/>
        <v>1.0951403148528405</v>
      </c>
      <c r="J9" s="4"/>
      <c r="K9" s="17">
        <v>7.4319560000000007E-2</v>
      </c>
      <c r="L9" s="21" t="s">
        <v>39</v>
      </c>
      <c r="M9" s="19">
        <f>K9+Control!$D$4%%</f>
        <v>8.2797100874121565E-2</v>
      </c>
      <c r="N9" s="21" t="s">
        <v>40</v>
      </c>
      <c r="O9" s="19">
        <f>K9+Control!$E$4%%</f>
        <v>9.1207225649252988E-2</v>
      </c>
      <c r="P9" s="17" t="s">
        <v>41</v>
      </c>
      <c r="Q9" s="4"/>
    </row>
    <row r="10" spans="1:17" x14ac:dyDescent="0.25">
      <c r="A10" s="2"/>
      <c r="B10" s="7" t="s">
        <v>8</v>
      </c>
      <c r="C10" s="7" t="s">
        <v>16</v>
      </c>
      <c r="D10" s="20">
        <v>0.99251</v>
      </c>
      <c r="E10" s="17">
        <f>_xll.WSA.ExcelAddIn.Functions.BondData(C10,"Spread")/100</f>
        <v>5.4000000000000006E-2</v>
      </c>
      <c r="F10" s="10">
        <f>_xll.WSA.ExcelAddIn.Functions.DealData(C10,"ReinvestmentEndDate")</f>
        <v>43951</v>
      </c>
      <c r="G10" s="10">
        <f>_xll.WSA.ExcelAddIn.Functions.DealData(C10,"NoCallEndDate")</f>
        <v>43130</v>
      </c>
      <c r="H10" s="12">
        <f t="shared" si="0"/>
        <v>1.8042436687200547</v>
      </c>
      <c r="I10" s="12">
        <f t="shared" si="1"/>
        <v>-0.44353182751540043</v>
      </c>
      <c r="J10" s="4"/>
      <c r="K10" s="17">
        <v>7.1187399999999998E-2</v>
      </c>
      <c r="L10" s="21" t="s">
        <v>42</v>
      </c>
      <c r="M10" s="19">
        <f>K10+Control!$D$4%%</f>
        <v>7.9664940874121556E-2</v>
      </c>
      <c r="N10" s="21" t="s">
        <v>43</v>
      </c>
      <c r="O10" s="19">
        <f>K10+Control!$E$4%%</f>
        <v>8.8075065649252979E-2</v>
      </c>
      <c r="P10" s="17" t="s">
        <v>44</v>
      </c>
      <c r="Q10" s="4"/>
    </row>
    <row r="11" spans="1:17" hidden="1" x14ac:dyDescent="0.25">
      <c r="A11" s="2"/>
      <c r="B11" s="7" t="s">
        <v>8</v>
      </c>
      <c r="C11" s="7" t="s">
        <v>17</v>
      </c>
      <c r="D11" s="20">
        <v>0.96</v>
      </c>
      <c r="E11" s="17">
        <f>_xll.WSA.ExcelAddIn.Functions.BondData(C11,"Spread")/100</f>
        <v>8.0199999999999994E-2</v>
      </c>
      <c r="F11" s="10">
        <f>_xll.WSA.ExcelAddIn.Functions.DealData(C11,"ReinvestmentEndDate")</f>
        <v>44757</v>
      </c>
      <c r="G11" s="10">
        <f>_xll.WSA.ExcelAddIn.Functions.DealData(C11,"NoCallEndDate")</f>
        <v>43936</v>
      </c>
      <c r="H11" s="12">
        <f t="shared" si="0"/>
        <v>4.0109514031485283</v>
      </c>
      <c r="I11" s="12">
        <f t="shared" si="1"/>
        <v>1.7631759069130732</v>
      </c>
      <c r="J11" s="4"/>
      <c r="K11" s="17"/>
      <c r="L11" s="21"/>
      <c r="M11" s="19"/>
      <c r="N11" s="21"/>
      <c r="O11" s="17"/>
      <c r="P11" s="17"/>
      <c r="Q11" s="4"/>
    </row>
    <row r="12" spans="1:17" x14ac:dyDescent="0.25">
      <c r="A12" s="2"/>
      <c r="B12" s="7" t="s">
        <v>8</v>
      </c>
      <c r="C12" s="7" t="s">
        <v>18</v>
      </c>
      <c r="D12" s="20">
        <v>1.0024999999999999</v>
      </c>
      <c r="E12" s="17">
        <f>_xll.WSA.ExcelAddIn.Functions.BondData(C12,"Spread")/100</f>
        <v>6.3E-2</v>
      </c>
      <c r="F12" s="10">
        <f>_xll.WSA.ExcelAddIn.Functions.DealData(C12,"ReinvestmentEndDate")</f>
        <v>44762</v>
      </c>
      <c r="G12" s="10">
        <f>_xll.WSA.ExcelAddIn.Functions.DealData(C12,"NoCallEndDate")</f>
        <v>43577</v>
      </c>
      <c r="H12" s="12">
        <f t="shared" si="0"/>
        <v>4.0246406570841886</v>
      </c>
      <c r="I12" s="12">
        <f t="shared" si="1"/>
        <v>0.78028747433264889</v>
      </c>
      <c r="J12" s="4"/>
      <c r="K12" s="17">
        <v>7.4992879999999998E-2</v>
      </c>
      <c r="L12" s="21" t="s">
        <v>45</v>
      </c>
      <c r="M12" s="19">
        <f>K12+Control!$D$4%%</f>
        <v>8.3470420874121556E-2</v>
      </c>
      <c r="N12" s="21" t="s">
        <v>46</v>
      </c>
      <c r="O12" s="19">
        <f>K12+Control!$E$4%%</f>
        <v>9.1880545649252979E-2</v>
      </c>
      <c r="P12" s="17" t="s">
        <v>47</v>
      </c>
      <c r="Q12" s="4"/>
    </row>
    <row r="13" spans="1:17" x14ac:dyDescent="0.25">
      <c r="A13" s="2"/>
      <c r="B13" s="7" t="s">
        <v>8</v>
      </c>
      <c r="C13" s="7" t="s">
        <v>19</v>
      </c>
      <c r="D13" s="20">
        <v>1</v>
      </c>
      <c r="E13" s="17">
        <f>_xll.WSA.ExcelAddIn.Functions.BondData(C13,"Spread")/100</f>
        <v>7.0800000000000002E-2</v>
      </c>
      <c r="F13" s="10">
        <f>_xll.WSA.ExcelAddIn.Functions.DealData(C13,"ReinvestmentEndDate")</f>
        <v>44438</v>
      </c>
      <c r="G13" s="10">
        <f>_xll.WSA.ExcelAddIn.Functions.DealData(C13,"NoCallEndDate")</f>
        <v>43613</v>
      </c>
      <c r="H13" s="12">
        <f t="shared" si="0"/>
        <v>3.137577002053388</v>
      </c>
      <c r="I13" s="12">
        <f t="shared" si="1"/>
        <v>0.87885010266940455</v>
      </c>
      <c r="J13" s="4"/>
      <c r="K13" s="17">
        <v>7.8840190000000004E-2</v>
      </c>
      <c r="L13" s="21" t="s">
        <v>48</v>
      </c>
      <c r="M13" s="19">
        <f>K13+Control!$D$4%%</f>
        <v>8.7317730874121563E-2</v>
      </c>
      <c r="N13" s="21" t="s">
        <v>49</v>
      </c>
      <c r="O13" s="19">
        <f>K13+Control!$E$4%%</f>
        <v>9.5727855649252985E-2</v>
      </c>
      <c r="P13" s="17" t="s">
        <v>50</v>
      </c>
      <c r="Q13" s="4"/>
    </row>
    <row r="14" spans="1:17" hidden="1" x14ac:dyDescent="0.25">
      <c r="A14" s="2"/>
      <c r="B14" s="7" t="s">
        <v>8</v>
      </c>
      <c r="D14" s="4"/>
      <c r="E14" s="17" t="e">
        <f>_xll.WSA.ExcelAddIn.Functions.BondData(C14,"Spread")/100</f>
        <v>#VALUE!</v>
      </c>
      <c r="F14" s="10" t="str">
        <f>_xll.WSA.ExcelAddIn.Functions.DealData(C14,"ReinvestmentEndDate")</f>
        <v>Deal not found or permission denied.</v>
      </c>
      <c r="G14" s="10" t="str">
        <f>_xll.WSA.ExcelAddIn.Functions.DealData(C14,"NoCallEndDate")</f>
        <v>Deal not found or permission denied.</v>
      </c>
      <c r="H14" s="12" t="e">
        <f t="shared" ref="H14:H25" si="2">(F14-$C$4)/365.25</f>
        <v>#VALUE!</v>
      </c>
      <c r="I14" s="12" t="e">
        <f t="shared" ref="I14:I25" si="3">(G14-$C$4)/365.25</f>
        <v>#VALUE!</v>
      </c>
      <c r="J14" s="4"/>
      <c r="K14" s="15">
        <f>Control!C$4/10000</f>
        <v>5.5002309999999999E-2</v>
      </c>
      <c r="L14" s="17"/>
      <c r="M14" s="15">
        <v>0.06</v>
      </c>
      <c r="N14" s="17"/>
      <c r="O14" s="19">
        <f>K14+Control!$E$4%%</f>
        <v>7.188997564925298E-2</v>
      </c>
      <c r="P14" s="17"/>
      <c r="Q14" s="4"/>
    </row>
    <row r="15" spans="1:17" hidden="1" x14ac:dyDescent="0.25">
      <c r="A15" s="2"/>
      <c r="B15" s="7" t="s">
        <v>8</v>
      </c>
      <c r="D15" s="4"/>
      <c r="E15" s="17" t="e">
        <f>_xll.WSA.ExcelAddIn.Functions.BondData(C15,"Spread")/100</f>
        <v>#VALUE!</v>
      </c>
      <c r="F15" s="10" t="str">
        <f>_xll.WSA.ExcelAddIn.Functions.DealData(C15,"ReinvestmentEndDate")</f>
        <v>Deal not found or permission denied.</v>
      </c>
      <c r="G15" s="10" t="str">
        <f>_xll.WSA.ExcelAddIn.Functions.DealData(C15,"NoCallEndDate")</f>
        <v>Deal not found or permission denied.</v>
      </c>
      <c r="H15" s="12" t="e">
        <f t="shared" si="2"/>
        <v>#VALUE!</v>
      </c>
      <c r="I15" s="12" t="e">
        <f t="shared" si="3"/>
        <v>#VALUE!</v>
      </c>
      <c r="J15" s="4"/>
      <c r="K15" s="15">
        <f>Control!C$4/10000</f>
        <v>5.5002309999999999E-2</v>
      </c>
      <c r="L15" s="17"/>
      <c r="M15" s="15">
        <v>0.06</v>
      </c>
      <c r="N15" s="17"/>
      <c r="O15" s="19">
        <f>K15+Control!$E$4%%</f>
        <v>7.188997564925298E-2</v>
      </c>
      <c r="P15" s="17"/>
      <c r="Q15" s="4"/>
    </row>
    <row r="16" spans="1:17" hidden="1" x14ac:dyDescent="0.25">
      <c r="A16" s="2"/>
      <c r="B16" s="7" t="s">
        <v>8</v>
      </c>
      <c r="D16" s="4"/>
      <c r="E16" s="17" t="e">
        <f>_xll.WSA.ExcelAddIn.Functions.BondData(C16,"Spread")/100</f>
        <v>#VALUE!</v>
      </c>
      <c r="F16" s="10" t="str">
        <f>_xll.WSA.ExcelAddIn.Functions.DealData(C16,"ReinvestmentEndDate")</f>
        <v>Deal not found or permission denied.</v>
      </c>
      <c r="G16" s="10" t="str">
        <f>_xll.WSA.ExcelAddIn.Functions.DealData(C16,"NoCallEndDate")</f>
        <v>Deal not found or permission denied.</v>
      </c>
      <c r="H16" s="12" t="e">
        <f t="shared" si="2"/>
        <v>#VALUE!</v>
      </c>
      <c r="I16" s="12" t="e">
        <f t="shared" si="3"/>
        <v>#VALUE!</v>
      </c>
      <c r="J16" s="4"/>
      <c r="K16" s="15">
        <f>Control!C$4/10000</f>
        <v>5.5002309999999999E-2</v>
      </c>
      <c r="L16" s="17"/>
      <c r="M16" s="15">
        <v>0.06</v>
      </c>
      <c r="N16" s="17"/>
      <c r="O16" s="19">
        <f>K16+Control!$E$4%%</f>
        <v>7.188997564925298E-2</v>
      </c>
      <c r="P16" s="17"/>
      <c r="Q16" s="4"/>
    </row>
    <row r="17" spans="1:17" hidden="1" x14ac:dyDescent="0.25">
      <c r="A17" s="2"/>
      <c r="B17" s="7" t="s">
        <v>8</v>
      </c>
      <c r="D17" s="4"/>
      <c r="E17" s="17" t="e">
        <f>_xll.WSA.ExcelAddIn.Functions.BondData(C17,"Spread")/100</f>
        <v>#VALUE!</v>
      </c>
      <c r="F17" s="10" t="str">
        <f>_xll.WSA.ExcelAddIn.Functions.DealData(C17,"ReinvestmentEndDate")</f>
        <v>Deal not found or permission denied.</v>
      </c>
      <c r="G17" s="10" t="str">
        <f>_xll.WSA.ExcelAddIn.Functions.DealData(C17,"NoCallEndDate")</f>
        <v>Deal not found or permission denied.</v>
      </c>
      <c r="H17" s="12" t="e">
        <f t="shared" si="2"/>
        <v>#VALUE!</v>
      </c>
      <c r="I17" s="12" t="e">
        <f t="shared" si="3"/>
        <v>#VALUE!</v>
      </c>
      <c r="J17" s="4"/>
      <c r="K17" s="15">
        <f>Control!C$4/10000</f>
        <v>5.5002309999999999E-2</v>
      </c>
      <c r="L17" s="17"/>
      <c r="M17" s="15">
        <v>0.06</v>
      </c>
      <c r="N17" s="17"/>
      <c r="O17" s="19">
        <f>K17+Control!$E$4%%</f>
        <v>7.188997564925298E-2</v>
      </c>
      <c r="P17" s="17"/>
      <c r="Q17" s="4"/>
    </row>
    <row r="18" spans="1:17" hidden="1" x14ac:dyDescent="0.25">
      <c r="A18" s="2"/>
      <c r="B18" s="7" t="s">
        <v>8</v>
      </c>
      <c r="D18" s="4"/>
      <c r="E18" s="17" t="e">
        <f>_xll.WSA.ExcelAddIn.Functions.BondData(C18,"Spread")/100</f>
        <v>#VALUE!</v>
      </c>
      <c r="F18" s="10" t="str">
        <f>_xll.WSA.ExcelAddIn.Functions.DealData(C18,"ReinvestmentEndDate")</f>
        <v>Deal not found or permission denied.</v>
      </c>
      <c r="G18" s="10" t="str">
        <f>_xll.WSA.ExcelAddIn.Functions.DealData(C18,"NoCallEndDate")</f>
        <v>Deal not found or permission denied.</v>
      </c>
      <c r="H18" s="12" t="e">
        <f t="shared" si="2"/>
        <v>#VALUE!</v>
      </c>
      <c r="I18" s="12" t="e">
        <f t="shared" si="3"/>
        <v>#VALUE!</v>
      </c>
      <c r="J18" s="4"/>
      <c r="K18" s="15">
        <f>Control!C$4/10000</f>
        <v>5.5002309999999999E-2</v>
      </c>
      <c r="L18" s="17"/>
      <c r="M18" s="15">
        <v>0.06</v>
      </c>
      <c r="N18" s="17"/>
      <c r="O18" s="19">
        <f>K18+Control!$E$4%%</f>
        <v>7.188997564925298E-2</v>
      </c>
      <c r="P18" s="17"/>
      <c r="Q18" s="4"/>
    </row>
    <row r="19" spans="1:17" hidden="1" x14ac:dyDescent="0.25">
      <c r="A19" s="2"/>
      <c r="B19" s="7" t="s">
        <v>8</v>
      </c>
      <c r="D19" s="4"/>
      <c r="E19" s="17" t="e">
        <f>_xll.WSA.ExcelAddIn.Functions.BondData(C19,"Spread")/100</f>
        <v>#VALUE!</v>
      </c>
      <c r="F19" s="10" t="str">
        <f>_xll.WSA.ExcelAddIn.Functions.DealData(C19,"ReinvestmentEndDate")</f>
        <v>Deal not found or permission denied.</v>
      </c>
      <c r="G19" s="10" t="str">
        <f>_xll.WSA.ExcelAddIn.Functions.DealData(C19,"NoCallEndDate")</f>
        <v>Deal not found or permission denied.</v>
      </c>
      <c r="H19" s="12" t="e">
        <f t="shared" si="2"/>
        <v>#VALUE!</v>
      </c>
      <c r="I19" s="12" t="e">
        <f t="shared" si="3"/>
        <v>#VALUE!</v>
      </c>
      <c r="J19" s="4"/>
      <c r="K19" s="15">
        <f>Control!C$4/10000</f>
        <v>5.5002309999999999E-2</v>
      </c>
      <c r="L19" s="17"/>
      <c r="M19" s="15">
        <v>0.06</v>
      </c>
      <c r="N19" s="17"/>
      <c r="O19" s="19">
        <f>K19+Control!$E$4%%</f>
        <v>7.188997564925298E-2</v>
      </c>
      <c r="P19" s="17"/>
      <c r="Q19" s="4"/>
    </row>
    <row r="20" spans="1:17" hidden="1" x14ac:dyDescent="0.25">
      <c r="A20" s="2"/>
      <c r="B20" s="7" t="s">
        <v>8</v>
      </c>
      <c r="D20" s="4"/>
      <c r="E20" s="17" t="e">
        <f>_xll.WSA.ExcelAddIn.Functions.BondData(C20,"Spread")/100</f>
        <v>#VALUE!</v>
      </c>
      <c r="F20" s="10" t="str">
        <f>_xll.WSA.ExcelAddIn.Functions.DealData(C20,"ReinvestmentEndDate")</f>
        <v>Deal not found or permission denied.</v>
      </c>
      <c r="G20" s="10" t="str">
        <f>_xll.WSA.ExcelAddIn.Functions.DealData(C20,"NoCallEndDate")</f>
        <v>Deal not found or permission denied.</v>
      </c>
      <c r="H20" s="12" t="e">
        <f t="shared" si="2"/>
        <v>#VALUE!</v>
      </c>
      <c r="I20" s="12" t="e">
        <f t="shared" si="3"/>
        <v>#VALUE!</v>
      </c>
      <c r="J20" s="4"/>
      <c r="K20" s="15">
        <f>Control!C$4/10000</f>
        <v>5.5002309999999999E-2</v>
      </c>
      <c r="L20" s="17"/>
      <c r="M20" s="15">
        <v>0.06</v>
      </c>
      <c r="N20" s="17"/>
      <c r="O20" s="19">
        <f>K20+Control!$E$4%%</f>
        <v>7.188997564925298E-2</v>
      </c>
      <c r="P20" s="17"/>
      <c r="Q20" s="4"/>
    </row>
    <row r="21" spans="1:17" hidden="1" x14ac:dyDescent="0.25">
      <c r="B21" s="7" t="s">
        <v>8</v>
      </c>
      <c r="E21" s="17" t="e">
        <f>_xll.WSA.ExcelAddIn.Functions.BondData(C21,"Spread")/100</f>
        <v>#VALUE!</v>
      </c>
      <c r="F21" s="10" t="str">
        <f>_xll.WSA.ExcelAddIn.Functions.DealData(C21,"ReinvestmentEndDate")</f>
        <v>Deal not found or permission denied.</v>
      </c>
      <c r="G21" s="10" t="str">
        <f>_xll.WSA.ExcelAddIn.Functions.DealData(C21,"NoCallEndDate")</f>
        <v>Deal not found or permission denied.</v>
      </c>
      <c r="H21" s="12" t="e">
        <f t="shared" si="2"/>
        <v>#VALUE!</v>
      </c>
      <c r="I21" s="12" t="e">
        <f t="shared" si="3"/>
        <v>#VALUE!</v>
      </c>
      <c r="K21" s="15">
        <f>Control!C$4/10000</f>
        <v>5.5002309999999999E-2</v>
      </c>
      <c r="L21" s="21"/>
      <c r="M21" s="16">
        <v>0.06</v>
      </c>
      <c r="N21" s="21"/>
      <c r="O21" s="19">
        <f>K21+Control!$E$4%%</f>
        <v>7.188997564925298E-2</v>
      </c>
      <c r="P21" s="21"/>
    </row>
    <row r="22" spans="1:17" hidden="1" x14ac:dyDescent="0.25">
      <c r="B22" s="7" t="s">
        <v>8</v>
      </c>
      <c r="E22" s="17" t="e">
        <f>_xll.WSA.ExcelAddIn.Functions.BondData(C22,"Spread")/100</f>
        <v>#VALUE!</v>
      </c>
      <c r="F22" s="10" t="str">
        <f>_xll.WSA.ExcelAddIn.Functions.DealData(C22,"ReinvestmentEndDate")</f>
        <v>Deal not found or permission denied.</v>
      </c>
      <c r="G22" s="10" t="str">
        <f>_xll.WSA.ExcelAddIn.Functions.DealData(C22,"NoCallEndDate")</f>
        <v>Deal not found or permission denied.</v>
      </c>
      <c r="H22" s="12" t="e">
        <f t="shared" si="2"/>
        <v>#VALUE!</v>
      </c>
      <c r="I22" s="12" t="e">
        <f t="shared" si="3"/>
        <v>#VALUE!</v>
      </c>
      <c r="K22" s="15">
        <f>Control!C$4/10000</f>
        <v>5.5002309999999999E-2</v>
      </c>
      <c r="L22" s="21"/>
      <c r="M22" s="16">
        <v>0.06</v>
      </c>
      <c r="N22" s="21"/>
      <c r="O22" s="19">
        <f>K22+Control!$E$4%%</f>
        <v>7.188997564925298E-2</v>
      </c>
      <c r="P22" s="21"/>
    </row>
    <row r="23" spans="1:17" hidden="1" x14ac:dyDescent="0.25">
      <c r="B23" s="7" t="s">
        <v>8</v>
      </c>
      <c r="E23" s="17" t="e">
        <f>_xll.WSA.ExcelAddIn.Functions.BondData(C23,"Spread")/100</f>
        <v>#VALUE!</v>
      </c>
      <c r="F23" s="10" t="str">
        <f>_xll.WSA.ExcelAddIn.Functions.DealData(C23,"ReinvestmentEndDate")</f>
        <v>Deal not found or permission denied.</v>
      </c>
      <c r="G23" s="10" t="str">
        <f>_xll.WSA.ExcelAddIn.Functions.DealData(C23,"NoCallEndDate")</f>
        <v>Deal not found or permission denied.</v>
      </c>
      <c r="H23" s="12" t="e">
        <f t="shared" si="2"/>
        <v>#VALUE!</v>
      </c>
      <c r="I23" s="12" t="e">
        <f t="shared" si="3"/>
        <v>#VALUE!</v>
      </c>
      <c r="K23" s="15">
        <f>Control!C$4/10000</f>
        <v>5.5002309999999999E-2</v>
      </c>
      <c r="L23" s="21"/>
      <c r="M23" s="16">
        <v>0.06</v>
      </c>
      <c r="N23" s="21"/>
      <c r="O23" s="19">
        <f>K23+Control!$E$4%%</f>
        <v>7.188997564925298E-2</v>
      </c>
      <c r="P23" s="21"/>
    </row>
    <row r="24" spans="1:17" hidden="1" x14ac:dyDescent="0.25">
      <c r="B24" s="7" t="s">
        <v>8</v>
      </c>
      <c r="E24" s="17" t="e">
        <f>_xll.WSA.ExcelAddIn.Functions.BondData(C24,"Spread")/100</f>
        <v>#VALUE!</v>
      </c>
      <c r="F24" s="10" t="str">
        <f>_xll.WSA.ExcelAddIn.Functions.DealData(C24,"ReinvestmentEndDate")</f>
        <v>Deal not found or permission denied.</v>
      </c>
      <c r="G24" s="10" t="str">
        <f>_xll.WSA.ExcelAddIn.Functions.DealData(C24,"NoCallEndDate")</f>
        <v>Deal not found or permission denied.</v>
      </c>
      <c r="H24" s="12" t="e">
        <f t="shared" si="2"/>
        <v>#VALUE!</v>
      </c>
      <c r="I24" s="12" t="e">
        <f t="shared" si="3"/>
        <v>#VALUE!</v>
      </c>
      <c r="K24" s="15">
        <f>Control!C$4/10000</f>
        <v>5.5002309999999999E-2</v>
      </c>
      <c r="L24" s="21"/>
      <c r="M24" s="16">
        <v>0.06</v>
      </c>
      <c r="N24" s="21"/>
      <c r="O24" s="19">
        <f>K24+Control!$E$4%%</f>
        <v>7.188997564925298E-2</v>
      </c>
      <c r="P24" s="21"/>
    </row>
    <row r="25" spans="1:17" hidden="1" x14ac:dyDescent="0.25">
      <c r="B25" s="7" t="s">
        <v>8</v>
      </c>
      <c r="E25" s="17" t="e">
        <f>_xll.WSA.ExcelAddIn.Functions.BondData(C25,"Spread")/100</f>
        <v>#VALUE!</v>
      </c>
      <c r="F25" s="10" t="str">
        <f>_xll.WSA.ExcelAddIn.Functions.DealData(C25,"ReinvestmentEndDate")</f>
        <v>Deal not found or permission denied.</v>
      </c>
      <c r="G25" s="10" t="str">
        <f>_xll.WSA.ExcelAddIn.Functions.DealData(C25,"NoCallEndDate")</f>
        <v>Deal not found or permission denied.</v>
      </c>
      <c r="H25" s="12" t="e">
        <f t="shared" si="2"/>
        <v>#VALUE!</v>
      </c>
      <c r="I25" s="12" t="e">
        <f t="shared" si="3"/>
        <v>#VALUE!</v>
      </c>
      <c r="K25" s="15">
        <f>Control!C$4/10000</f>
        <v>5.5002309999999999E-2</v>
      </c>
      <c r="L25" s="21"/>
      <c r="M25" s="16">
        <v>0.06</v>
      </c>
      <c r="N25" s="21"/>
      <c r="O25" s="19">
        <f>K25+Control!$E$4%%</f>
        <v>7.188997564925298E-2</v>
      </c>
      <c r="P25" s="21"/>
    </row>
  </sheetData>
  <mergeCells count="3">
    <mergeCell ref="K4:L4"/>
    <mergeCell ref="M4:N4"/>
    <mergeCell ref="O4:P4"/>
  </mergeCells>
  <conditionalFormatting sqref="C1:C4 C26:C1048576 B5:B25">
    <cfRule type="cellIs" dxfId="1" priority="4" operator="equal">
      <formula>"Available"</formula>
    </cfRule>
  </conditionalFormatting>
  <conditionalFormatting sqref="C1:C4 C26:C1048576 B5:B25">
    <cfRule type="cellIs" dxfId="0" priority="3" operator="equal">
      <formula>"Owned"</formula>
    </cfRule>
  </conditionalFormatting>
  <conditionalFormatting sqref="H6:H2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6:I2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2A7E6-A170-4F54-8505-C7F6393A1F69}">
  <sheetPr codeName="Sheet2"/>
  <dimension ref="B1:O1682"/>
  <sheetViews>
    <sheetView zoomScale="85" zoomScaleNormal="85" workbookViewId="0">
      <selection activeCell="D4" sqref="D4:E4"/>
    </sheetView>
  </sheetViews>
  <sheetFormatPr defaultRowHeight="15" x14ac:dyDescent="0.25"/>
  <cols>
    <col min="3" max="3" width="12" bestFit="1" customWidth="1"/>
    <col min="4" max="5" width="12.7109375" customWidth="1"/>
    <col min="7" max="7" width="11.7109375" customWidth="1"/>
    <col min="9" max="9" width="12" bestFit="1" customWidth="1"/>
    <col min="10" max="10" width="12" customWidth="1"/>
    <col min="13" max="13" width="10.7109375" bestFit="1" customWidth="1"/>
  </cols>
  <sheetData>
    <row r="1" spans="2:15" x14ac:dyDescent="0.25">
      <c r="G1" t="s">
        <v>20</v>
      </c>
      <c r="J1" t="s">
        <v>21</v>
      </c>
      <c r="M1" t="s">
        <v>22</v>
      </c>
    </row>
    <row r="2" spans="2:15" x14ac:dyDescent="0.25">
      <c r="C2" t="s">
        <v>23</v>
      </c>
      <c r="D2" s="24" t="s">
        <v>27</v>
      </c>
      <c r="E2" s="24" t="s">
        <v>24</v>
      </c>
      <c r="G2" s="23">
        <v>40912</v>
      </c>
      <c r="H2" s="22">
        <v>765.83309999999994</v>
      </c>
      <c r="I2" s="18">
        <f>_xlfn.STDEV.P(I3:I1659)</f>
        <v>1.1320511670695501E-2</v>
      </c>
      <c r="J2" s="23">
        <v>40912</v>
      </c>
      <c r="K2" s="22">
        <v>978.44960000000003</v>
      </c>
      <c r="L2" s="18">
        <f>_xlfn.STDEV.P(L3:L1659)</f>
        <v>9.7093172659522189E-3</v>
      </c>
      <c r="M2" s="23">
        <v>40911</v>
      </c>
      <c r="N2" s="22">
        <v>1099.193</v>
      </c>
      <c r="O2" s="18">
        <f>_xlfn.STDEV.P(O3:O1659)</f>
        <v>1.1444759817521367E-2</v>
      </c>
    </row>
    <row r="3" spans="2:15" x14ac:dyDescent="0.25">
      <c r="B3" t="s">
        <v>20</v>
      </c>
      <c r="C3" s="26">
        <f>INDEX(H2:$H$2000,MATCH(MAX($G$2:$G$2000),$G$2:$G$2000,0))</f>
        <v>286.47179999999997</v>
      </c>
      <c r="D3" s="25">
        <f>C3*(2*SQRT(63)*I2)</f>
        <v>51.481145771274264</v>
      </c>
      <c r="E3" s="25">
        <f>C3*(2*SQRT(250)*I2)</f>
        <v>102.55289711190223</v>
      </c>
      <c r="G3" s="23">
        <v>40913</v>
      </c>
      <c r="H3" s="22">
        <v>761.38580000000002</v>
      </c>
      <c r="I3">
        <f>H3/H2-1</f>
        <v>-5.8071399630023057E-3</v>
      </c>
      <c r="J3" s="23">
        <v>40913</v>
      </c>
      <c r="K3" s="22">
        <v>977.49869999999999</v>
      </c>
      <c r="L3">
        <f>K3/K2-1</f>
        <v>-9.7184361872093561E-4</v>
      </c>
      <c r="M3" s="23">
        <v>40912</v>
      </c>
      <c r="N3" s="22">
        <v>1099.1880000000001</v>
      </c>
      <c r="O3">
        <f>N3/N2-1</f>
        <v>-4.548791704306332E-6</v>
      </c>
    </row>
    <row r="4" spans="2:15" x14ac:dyDescent="0.25">
      <c r="B4" t="s">
        <v>21</v>
      </c>
      <c r="C4" s="26">
        <f>INDEX(K2:$K$2000,MATCH(MAX($G$2:$G$2000),$G$2:$G$2000,0))</f>
        <v>550.0231</v>
      </c>
      <c r="D4" s="25">
        <f>C4*(2*SQRT(63)*L2)</f>
        <v>84.7754087412156</v>
      </c>
      <c r="E4" s="25">
        <f>C4*(2*SQRT(250)*L2)</f>
        <v>168.87665649252983</v>
      </c>
      <c r="G4" s="23">
        <v>40914</v>
      </c>
      <c r="H4" s="22">
        <v>761.34569999999997</v>
      </c>
      <c r="I4">
        <f t="shared" ref="I4:L67" si="0">H4/H3-1</f>
        <v>-5.2667123552896378E-5</v>
      </c>
      <c r="J4" s="23">
        <v>40914</v>
      </c>
      <c r="K4" s="22">
        <v>977.45050000000003</v>
      </c>
      <c r="L4">
        <f t="shared" si="0"/>
        <v>-4.9309528493468591E-5</v>
      </c>
      <c r="M4" s="23">
        <v>40913</v>
      </c>
      <c r="N4" s="22">
        <v>1099.182</v>
      </c>
      <c r="O4">
        <f t="shared" ref="O4:O67" si="1">N4/N3-1</f>
        <v>-5.4585748753277485E-6</v>
      </c>
    </row>
    <row r="5" spans="2:15" x14ac:dyDescent="0.25">
      <c r="B5" t="s">
        <v>22</v>
      </c>
      <c r="C5" s="26">
        <f>INDEX(N2:$N$2000,MATCH(MAX($G$2:$G$2000),$G$2:$G$2000,0))</f>
        <v>740.82159999999999</v>
      </c>
      <c r="D5" s="25">
        <f>C5*(2*SQRT(63)*O2)</f>
        <v>134.59241624688204</v>
      </c>
      <c r="E5" s="25">
        <f>C5*(2*SQRT(250)*O2)</f>
        <v>268.11451082952777</v>
      </c>
      <c r="G5" s="23">
        <v>40917</v>
      </c>
      <c r="H5" s="22">
        <v>735.20950000000005</v>
      </c>
      <c r="I5">
        <f t="shared" si="0"/>
        <v>-3.4328952012206648E-2</v>
      </c>
      <c r="J5" s="23">
        <v>40917</v>
      </c>
      <c r="K5" s="22">
        <v>933.97299999999996</v>
      </c>
      <c r="L5">
        <f t="shared" si="0"/>
        <v>-4.4480513335457994E-2</v>
      </c>
      <c r="M5" s="23">
        <v>40914</v>
      </c>
      <c r="N5" s="22">
        <v>1099.1769999999999</v>
      </c>
      <c r="O5">
        <f t="shared" si="1"/>
        <v>-4.5488372263369214E-6</v>
      </c>
    </row>
    <row r="6" spans="2:15" x14ac:dyDescent="0.25">
      <c r="G6" s="23">
        <v>40918</v>
      </c>
      <c r="H6" s="22">
        <v>735.2201</v>
      </c>
      <c r="I6">
        <f t="shared" si="0"/>
        <v>1.4417659184084997E-5</v>
      </c>
      <c r="J6" s="23">
        <v>40918</v>
      </c>
      <c r="K6" s="22">
        <v>933.98209999999995</v>
      </c>
      <c r="L6">
        <f t="shared" si="0"/>
        <v>9.7433223444909345E-6</v>
      </c>
      <c r="M6" s="23">
        <v>40917</v>
      </c>
      <c r="N6" s="22">
        <v>1053.6130000000001</v>
      </c>
      <c r="O6">
        <f t="shared" si="1"/>
        <v>-4.1452832437359866E-2</v>
      </c>
    </row>
    <row r="7" spans="2:15" x14ac:dyDescent="0.25">
      <c r="G7" s="23">
        <v>40919</v>
      </c>
      <c r="H7" s="22">
        <v>735.62919999999997</v>
      </c>
      <c r="I7">
        <f t="shared" si="0"/>
        <v>5.564320126720812E-4</v>
      </c>
      <c r="J7" s="23">
        <v>40919</v>
      </c>
      <c r="K7" s="22">
        <v>934.28989999999999</v>
      </c>
      <c r="L7">
        <f t="shared" si="0"/>
        <v>3.2955663711331518E-4</v>
      </c>
      <c r="M7" s="23">
        <v>40918</v>
      </c>
      <c r="N7" s="22">
        <v>1053.6110000000001</v>
      </c>
      <c r="O7">
        <f t="shared" si="1"/>
        <v>-1.8982301850378747E-6</v>
      </c>
    </row>
    <row r="8" spans="2:15" x14ac:dyDescent="0.25">
      <c r="G8" s="23">
        <v>40920</v>
      </c>
      <c r="H8" s="22">
        <v>735.93970000000002</v>
      </c>
      <c r="I8">
        <f t="shared" si="0"/>
        <v>4.2208764959306144E-4</v>
      </c>
      <c r="J8" s="23">
        <v>40920</v>
      </c>
      <c r="K8" s="22">
        <v>934.77149999999995</v>
      </c>
      <c r="L8">
        <f t="shared" si="0"/>
        <v>5.1547169673993309E-4</v>
      </c>
      <c r="M8" s="23">
        <v>40919</v>
      </c>
      <c r="N8" s="22">
        <v>1054.971</v>
      </c>
      <c r="O8">
        <f t="shared" si="1"/>
        <v>1.2907989760926331E-3</v>
      </c>
    </row>
    <row r="9" spans="2:15" x14ac:dyDescent="0.25">
      <c r="G9" s="23">
        <v>40921</v>
      </c>
      <c r="H9" s="22">
        <v>735.92409999999995</v>
      </c>
      <c r="I9">
        <f t="shared" si="0"/>
        <v>-2.1197388862193023E-5</v>
      </c>
      <c r="J9" s="23">
        <v>40921</v>
      </c>
      <c r="K9" s="22">
        <v>910.67049999999995</v>
      </c>
      <c r="L9">
        <f t="shared" si="0"/>
        <v>-2.5782771511540514E-2</v>
      </c>
      <c r="M9" s="23">
        <v>40920</v>
      </c>
      <c r="N9" s="22">
        <v>1054.971</v>
      </c>
      <c r="O9">
        <f t="shared" si="1"/>
        <v>0</v>
      </c>
    </row>
    <row r="10" spans="2:15" x14ac:dyDescent="0.25">
      <c r="C10" s="26"/>
      <c r="G10" s="23">
        <v>40925</v>
      </c>
      <c r="H10" s="22">
        <v>673.2473</v>
      </c>
      <c r="I10">
        <f t="shared" si="0"/>
        <v>-8.5167478548399123E-2</v>
      </c>
      <c r="J10" s="23">
        <v>40925</v>
      </c>
      <c r="K10" s="22">
        <v>890.19960000000003</v>
      </c>
      <c r="L10">
        <f t="shared" si="0"/>
        <v>-2.2478931732168639E-2</v>
      </c>
      <c r="M10" s="23">
        <v>40921</v>
      </c>
      <c r="N10" s="22">
        <v>1027.575</v>
      </c>
      <c r="O10">
        <f t="shared" si="1"/>
        <v>-2.5968486337539121E-2</v>
      </c>
    </row>
    <row r="11" spans="2:15" x14ac:dyDescent="0.25">
      <c r="G11" s="23">
        <v>40926</v>
      </c>
      <c r="H11" s="22">
        <v>673.09799999999996</v>
      </c>
      <c r="I11">
        <f t="shared" si="0"/>
        <v>-2.2176100817639099E-4</v>
      </c>
      <c r="J11" s="23">
        <v>40926</v>
      </c>
      <c r="K11" s="22">
        <v>890.08090000000004</v>
      </c>
      <c r="L11">
        <f t="shared" si="0"/>
        <v>-1.3334088220218199E-4</v>
      </c>
      <c r="M11" s="23">
        <v>40924</v>
      </c>
      <c r="N11" s="22">
        <v>1027.575</v>
      </c>
      <c r="O11">
        <f t="shared" si="1"/>
        <v>0</v>
      </c>
    </row>
    <row r="12" spans="2:15" x14ac:dyDescent="0.25">
      <c r="G12" s="23">
        <v>40927</v>
      </c>
      <c r="H12" s="22">
        <v>673.36659999999995</v>
      </c>
      <c r="I12">
        <f t="shared" si="0"/>
        <v>3.9905036116572035E-4</v>
      </c>
      <c r="J12" s="23">
        <v>40927</v>
      </c>
      <c r="K12" s="22">
        <v>893.97090000000003</v>
      </c>
      <c r="L12">
        <f t="shared" si="0"/>
        <v>4.3703892533812905E-3</v>
      </c>
      <c r="M12" s="23">
        <v>40925</v>
      </c>
      <c r="N12" s="22">
        <v>1003.543</v>
      </c>
      <c r="O12">
        <f t="shared" si="1"/>
        <v>-2.33871006982459E-2</v>
      </c>
    </row>
    <row r="13" spans="2:15" x14ac:dyDescent="0.25">
      <c r="G13" s="23">
        <v>40928</v>
      </c>
      <c r="H13" s="22">
        <v>664.99480000000005</v>
      </c>
      <c r="I13">
        <f t="shared" si="0"/>
        <v>-1.2432752084822529E-2</v>
      </c>
      <c r="J13" s="23">
        <v>40928</v>
      </c>
      <c r="K13" s="22">
        <v>873.91330000000005</v>
      </c>
      <c r="L13">
        <f t="shared" si="0"/>
        <v>-2.2436524499846677E-2</v>
      </c>
      <c r="M13" s="23">
        <v>40926</v>
      </c>
      <c r="N13" s="22">
        <v>1003.495</v>
      </c>
      <c r="O13">
        <f t="shared" si="1"/>
        <v>-4.7830536409554369E-5</v>
      </c>
    </row>
    <row r="14" spans="2:15" x14ac:dyDescent="0.25">
      <c r="G14" s="23">
        <v>40931</v>
      </c>
      <c r="H14" s="22">
        <v>665.0104</v>
      </c>
      <c r="I14">
        <f t="shared" si="0"/>
        <v>2.34588300538352E-5</v>
      </c>
      <c r="J14" s="23">
        <v>40931</v>
      </c>
      <c r="K14" s="22">
        <v>825.49249999999995</v>
      </c>
      <c r="L14">
        <f t="shared" si="0"/>
        <v>-5.5406869308431528E-2</v>
      </c>
      <c r="M14" s="23">
        <v>40927</v>
      </c>
      <c r="N14" s="22">
        <v>1003.5069999999999</v>
      </c>
      <c r="O14">
        <f t="shared" si="1"/>
        <v>1.1958206069806465E-5</v>
      </c>
    </row>
    <row r="15" spans="2:15" x14ac:dyDescent="0.25">
      <c r="G15" s="23">
        <v>40932</v>
      </c>
      <c r="H15" s="22">
        <v>665.01570000000004</v>
      </c>
      <c r="I15">
        <f t="shared" si="0"/>
        <v>7.9698001715922118E-6</v>
      </c>
      <c r="J15" s="23">
        <v>40932</v>
      </c>
      <c r="K15" s="22">
        <v>825.50160000000005</v>
      </c>
      <c r="L15">
        <f t="shared" si="0"/>
        <v>1.1023722202407882E-5</v>
      </c>
      <c r="M15" s="23">
        <v>40928</v>
      </c>
      <c r="N15" s="22">
        <v>980.72659999999996</v>
      </c>
      <c r="O15">
        <f t="shared" si="1"/>
        <v>-2.2700788335308086E-2</v>
      </c>
    </row>
    <row r="16" spans="2:15" x14ac:dyDescent="0.25">
      <c r="G16" s="23">
        <v>40933</v>
      </c>
      <c r="H16" s="22">
        <v>664.61059999999998</v>
      </c>
      <c r="I16">
        <f t="shared" si="0"/>
        <v>-6.0915855069298974E-4</v>
      </c>
      <c r="J16" s="23">
        <v>40933</v>
      </c>
      <c r="K16" s="22">
        <v>825.30060000000003</v>
      </c>
      <c r="L16">
        <f t="shared" si="0"/>
        <v>-2.4348832273612953E-4</v>
      </c>
      <c r="M16" s="23">
        <v>40931</v>
      </c>
      <c r="N16" s="22">
        <v>926.04459999999995</v>
      </c>
      <c r="O16">
        <f t="shared" si="1"/>
        <v>-5.5756619632831406E-2</v>
      </c>
    </row>
    <row r="17" spans="7:15" x14ac:dyDescent="0.25">
      <c r="G17" s="23">
        <v>40934</v>
      </c>
      <c r="H17" s="22">
        <v>664.6567</v>
      </c>
      <c r="I17">
        <f t="shared" si="0"/>
        <v>6.9363925282006633E-5</v>
      </c>
      <c r="J17" s="23">
        <v>40934</v>
      </c>
      <c r="K17" s="22">
        <v>828.25099999999998</v>
      </c>
      <c r="L17">
        <f t="shared" si="0"/>
        <v>3.5749398461601967E-3</v>
      </c>
      <c r="M17" s="23">
        <v>40932</v>
      </c>
      <c r="N17" s="22">
        <v>926.04520000000002</v>
      </c>
      <c r="O17">
        <f t="shared" si="1"/>
        <v>6.4791695786325931E-7</v>
      </c>
    </row>
    <row r="18" spans="7:15" x14ac:dyDescent="0.25">
      <c r="G18" s="23">
        <v>40935</v>
      </c>
      <c r="H18" s="22">
        <v>664.63760000000002</v>
      </c>
      <c r="I18">
        <f t="shared" si="0"/>
        <v>-2.8736639531290464E-5</v>
      </c>
      <c r="J18" s="23">
        <v>40935</v>
      </c>
      <c r="K18" s="22">
        <v>828.20249999999999</v>
      </c>
      <c r="L18">
        <f t="shared" si="0"/>
        <v>-5.8557128213565512E-5</v>
      </c>
      <c r="M18" s="23">
        <v>40933</v>
      </c>
      <c r="N18" s="22">
        <v>926.0231</v>
      </c>
      <c r="O18">
        <f t="shared" si="1"/>
        <v>-2.3864925815741955E-5</v>
      </c>
    </row>
    <row r="19" spans="7:15" x14ac:dyDescent="0.25">
      <c r="G19" s="23">
        <v>40938</v>
      </c>
      <c r="H19" s="22">
        <v>665.02480000000003</v>
      </c>
      <c r="I19">
        <f t="shared" si="0"/>
        <v>5.8257311954656998E-4</v>
      </c>
      <c r="J19" s="23">
        <v>40938</v>
      </c>
      <c r="K19" s="22">
        <v>828.37239999999997</v>
      </c>
      <c r="L19">
        <f t="shared" si="0"/>
        <v>2.0514306585650566E-4</v>
      </c>
      <c r="M19" s="23">
        <v>40934</v>
      </c>
      <c r="N19" s="22">
        <v>926.02290000000005</v>
      </c>
      <c r="O19">
        <f t="shared" si="1"/>
        <v>-2.1597733357303639E-7</v>
      </c>
    </row>
    <row r="20" spans="7:15" x14ac:dyDescent="0.25">
      <c r="G20" s="23">
        <v>40939</v>
      </c>
      <c r="H20" s="22">
        <v>669.35180000000003</v>
      </c>
      <c r="I20">
        <f t="shared" si="0"/>
        <v>6.506524267967162E-3</v>
      </c>
      <c r="J20" s="23">
        <v>40939</v>
      </c>
      <c r="K20" s="22">
        <v>836.10209999999995</v>
      </c>
      <c r="L20">
        <f t="shared" si="0"/>
        <v>9.3311896919789916E-3</v>
      </c>
      <c r="M20" s="23">
        <v>40935</v>
      </c>
      <c r="N20" s="22">
        <v>926.02239999999995</v>
      </c>
      <c r="O20">
        <f t="shared" si="1"/>
        <v>-5.3994345072805316E-7</v>
      </c>
    </row>
    <row r="21" spans="7:15" x14ac:dyDescent="0.25">
      <c r="G21" s="23">
        <v>40940</v>
      </c>
      <c r="H21" s="22">
        <v>669.35410000000002</v>
      </c>
      <c r="I21">
        <f t="shared" si="0"/>
        <v>3.4361601777277428E-6</v>
      </c>
      <c r="J21" s="23">
        <v>40940</v>
      </c>
      <c r="K21" s="22">
        <v>836.10929999999996</v>
      </c>
      <c r="L21">
        <f t="shared" si="0"/>
        <v>8.6113884896210635E-6</v>
      </c>
      <c r="M21" s="23">
        <v>40938</v>
      </c>
      <c r="N21" s="22">
        <v>926.01279999999997</v>
      </c>
      <c r="O21">
        <f t="shared" si="1"/>
        <v>-1.0366919849902345E-5</v>
      </c>
    </row>
    <row r="22" spans="7:15" x14ac:dyDescent="0.25">
      <c r="G22" s="23">
        <v>40941</v>
      </c>
      <c r="H22" s="22">
        <v>669.36929999999995</v>
      </c>
      <c r="I22">
        <f t="shared" si="0"/>
        <v>2.2708458796261155E-5</v>
      </c>
      <c r="J22" s="23">
        <v>40941</v>
      </c>
      <c r="K22" s="22">
        <v>835.98689999999999</v>
      </c>
      <c r="L22">
        <f t="shared" si="0"/>
        <v>-1.4639234368041265E-4</v>
      </c>
      <c r="M22" s="23">
        <v>40939</v>
      </c>
      <c r="N22" s="22">
        <v>992.02710000000002</v>
      </c>
      <c r="O22">
        <f t="shared" si="1"/>
        <v>7.1288755403813076E-2</v>
      </c>
    </row>
    <row r="23" spans="7:15" x14ac:dyDescent="0.25">
      <c r="G23" s="23">
        <v>40942</v>
      </c>
      <c r="H23" s="22">
        <v>669.38599999999997</v>
      </c>
      <c r="I23">
        <f t="shared" si="0"/>
        <v>2.4948858574846966E-5</v>
      </c>
      <c r="J23" s="23">
        <v>40942</v>
      </c>
      <c r="K23" s="22">
        <v>823.31740000000002</v>
      </c>
      <c r="L23">
        <f t="shared" si="0"/>
        <v>-1.5155141785116455E-2</v>
      </c>
      <c r="M23" s="23">
        <v>40940</v>
      </c>
      <c r="N23" s="22">
        <v>992.02629999999999</v>
      </c>
      <c r="O23">
        <f t="shared" si="1"/>
        <v>-8.0642958244503404E-7</v>
      </c>
    </row>
    <row r="24" spans="7:15" x14ac:dyDescent="0.25">
      <c r="G24" s="23">
        <v>40945</v>
      </c>
      <c r="H24" s="22">
        <v>669.38679999999999</v>
      </c>
      <c r="I24">
        <f t="shared" si="0"/>
        <v>1.1951250848962758E-6</v>
      </c>
      <c r="J24" s="23">
        <v>40945</v>
      </c>
      <c r="K24" s="22">
        <v>826.7328</v>
      </c>
      <c r="L24">
        <f t="shared" si="0"/>
        <v>4.1483393889161224E-3</v>
      </c>
      <c r="M24" s="23">
        <v>40941</v>
      </c>
      <c r="N24" s="22">
        <v>992.61419999999998</v>
      </c>
      <c r="O24">
        <f t="shared" si="1"/>
        <v>5.9262541728988261E-4</v>
      </c>
    </row>
    <row r="25" spans="7:15" x14ac:dyDescent="0.25">
      <c r="G25" s="23">
        <v>40946</v>
      </c>
      <c r="H25" s="22">
        <v>648.95920000000001</v>
      </c>
      <c r="I25">
        <f t="shared" si="0"/>
        <v>-3.0516885005799299E-2</v>
      </c>
      <c r="J25" s="23">
        <v>40946</v>
      </c>
      <c r="K25" s="22">
        <v>826.6626</v>
      </c>
      <c r="L25">
        <f t="shared" si="0"/>
        <v>-8.4912561833738742E-5</v>
      </c>
      <c r="M25" s="23">
        <v>40942</v>
      </c>
      <c r="N25" s="22">
        <v>977.19730000000004</v>
      </c>
      <c r="O25">
        <f t="shared" si="1"/>
        <v>-1.5531613390177057E-2</v>
      </c>
    </row>
    <row r="26" spans="7:15" x14ac:dyDescent="0.25">
      <c r="G26" s="23">
        <v>40947</v>
      </c>
      <c r="H26" s="22">
        <v>648.96619999999996</v>
      </c>
      <c r="I26">
        <f t="shared" si="0"/>
        <v>1.0786502448789648E-5</v>
      </c>
      <c r="J26" s="23">
        <v>40947</v>
      </c>
      <c r="K26" s="22">
        <v>826.67200000000003</v>
      </c>
      <c r="L26">
        <f t="shared" si="0"/>
        <v>1.137102367998466E-5</v>
      </c>
      <c r="M26" s="23">
        <v>40945</v>
      </c>
      <c r="N26" s="22">
        <v>977.20339999999999</v>
      </c>
      <c r="O26">
        <f t="shared" si="1"/>
        <v>6.2423422577673193E-6</v>
      </c>
    </row>
    <row r="27" spans="7:15" x14ac:dyDescent="0.25">
      <c r="G27" s="23">
        <v>40948</v>
      </c>
      <c r="H27" s="22">
        <v>648.97640000000001</v>
      </c>
      <c r="I27">
        <f t="shared" si="0"/>
        <v>1.5717305462237263E-5</v>
      </c>
      <c r="J27" s="23">
        <v>40948</v>
      </c>
      <c r="K27" s="22">
        <v>815.02250000000004</v>
      </c>
      <c r="L27">
        <f t="shared" si="0"/>
        <v>-1.4092046180347206E-2</v>
      </c>
      <c r="M27" s="23">
        <v>40946</v>
      </c>
      <c r="N27" s="22">
        <v>976.63340000000005</v>
      </c>
      <c r="O27">
        <f t="shared" si="1"/>
        <v>-5.832971927849373E-4</v>
      </c>
    </row>
    <row r="28" spans="7:15" x14ac:dyDescent="0.25">
      <c r="G28" s="23">
        <v>40949</v>
      </c>
      <c r="H28" s="22">
        <v>649.01229999999998</v>
      </c>
      <c r="I28">
        <f t="shared" si="0"/>
        <v>5.5317882129424234E-5</v>
      </c>
      <c r="J28" s="23">
        <v>40949</v>
      </c>
      <c r="K28" s="22">
        <v>815.08320000000003</v>
      </c>
      <c r="L28">
        <f t="shared" si="0"/>
        <v>7.4476471508377884E-5</v>
      </c>
      <c r="M28" s="23">
        <v>40947</v>
      </c>
      <c r="N28" s="22">
        <v>976.63879999999995</v>
      </c>
      <c r="O28">
        <f t="shared" si="1"/>
        <v>5.5291985712191405E-6</v>
      </c>
    </row>
    <row r="29" spans="7:15" x14ac:dyDescent="0.25">
      <c r="G29" s="23">
        <v>40952</v>
      </c>
      <c r="H29" s="22">
        <v>649.07150000000001</v>
      </c>
      <c r="I29">
        <f t="shared" si="0"/>
        <v>9.1215528581045646E-5</v>
      </c>
      <c r="J29" s="23">
        <v>40952</v>
      </c>
      <c r="K29" s="22">
        <v>814.92570000000001</v>
      </c>
      <c r="L29">
        <f t="shared" si="0"/>
        <v>-1.93231807501415E-4</v>
      </c>
      <c r="M29" s="23">
        <v>40948</v>
      </c>
      <c r="N29" s="22">
        <v>976.64620000000002</v>
      </c>
      <c r="O29">
        <f t="shared" si="1"/>
        <v>7.5770079992487638E-6</v>
      </c>
    </row>
    <row r="30" spans="7:15" x14ac:dyDescent="0.25">
      <c r="G30" s="23">
        <v>40953</v>
      </c>
      <c r="H30" s="22">
        <v>649.14009999999996</v>
      </c>
      <c r="I30">
        <f t="shared" si="0"/>
        <v>1.0568943483102444E-4</v>
      </c>
      <c r="J30" s="23">
        <v>40953</v>
      </c>
      <c r="K30" s="22">
        <v>814.88990000000001</v>
      </c>
      <c r="L30">
        <f t="shared" si="0"/>
        <v>-4.3930385309920439E-5</v>
      </c>
      <c r="M30" s="23">
        <v>40949</v>
      </c>
      <c r="N30" s="22">
        <v>977.20699999999999</v>
      </c>
      <c r="O30">
        <f t="shared" si="1"/>
        <v>5.7420998515111954E-4</v>
      </c>
    </row>
    <row r="31" spans="7:15" x14ac:dyDescent="0.25">
      <c r="G31" s="23">
        <v>40954</v>
      </c>
      <c r="H31" s="22">
        <v>645.59879999999998</v>
      </c>
      <c r="I31">
        <f t="shared" si="0"/>
        <v>-5.4553708821870606E-3</v>
      </c>
      <c r="J31" s="23">
        <v>40954</v>
      </c>
      <c r="K31" s="22">
        <v>817.48829999999998</v>
      </c>
      <c r="L31">
        <f t="shared" si="0"/>
        <v>3.1886516202985771E-3</v>
      </c>
      <c r="M31" s="23">
        <v>40952</v>
      </c>
      <c r="N31" s="22">
        <v>977.21810000000005</v>
      </c>
      <c r="O31">
        <f t="shared" si="1"/>
        <v>1.1358903487135308E-5</v>
      </c>
    </row>
    <row r="32" spans="7:15" x14ac:dyDescent="0.25">
      <c r="G32" s="23">
        <v>40955</v>
      </c>
      <c r="H32" s="22">
        <v>644.13840000000005</v>
      </c>
      <c r="I32">
        <f t="shared" si="0"/>
        <v>-2.2620859890073453E-3</v>
      </c>
      <c r="J32" s="23">
        <v>40955</v>
      </c>
      <c r="K32" s="22">
        <v>815.99519999999995</v>
      </c>
      <c r="L32">
        <f t="shared" si="0"/>
        <v>-1.8264481583406544E-3</v>
      </c>
      <c r="M32" s="23">
        <v>40953</v>
      </c>
      <c r="N32" s="22">
        <v>977.21270000000004</v>
      </c>
      <c r="O32">
        <f t="shared" si="1"/>
        <v>-5.5258902798005494E-6</v>
      </c>
    </row>
    <row r="33" spans="7:15" x14ac:dyDescent="0.25">
      <c r="G33" s="23">
        <v>40956</v>
      </c>
      <c r="H33" s="22">
        <v>644.00369999999998</v>
      </c>
      <c r="I33">
        <f t="shared" si="0"/>
        <v>-2.0911655010791286E-4</v>
      </c>
      <c r="J33" s="23">
        <v>40956</v>
      </c>
      <c r="K33" s="22">
        <v>815.84310000000005</v>
      </c>
      <c r="L33">
        <f t="shared" si="0"/>
        <v>-1.8639815528309622E-4</v>
      </c>
      <c r="M33" s="23">
        <v>40954</v>
      </c>
      <c r="N33" s="22">
        <v>976.40909999999997</v>
      </c>
      <c r="O33">
        <f t="shared" si="1"/>
        <v>-8.2233888282468026E-4</v>
      </c>
    </row>
    <row r="34" spans="7:15" x14ac:dyDescent="0.25">
      <c r="G34" s="23">
        <v>40960</v>
      </c>
      <c r="H34" s="22">
        <v>644.09500000000003</v>
      </c>
      <c r="I34">
        <f t="shared" si="0"/>
        <v>1.4176937182197591E-4</v>
      </c>
      <c r="J34" s="23">
        <v>40960</v>
      </c>
      <c r="K34" s="22">
        <v>815.79359999999997</v>
      </c>
      <c r="L34">
        <f t="shared" si="0"/>
        <v>-6.0673430957614016E-5</v>
      </c>
      <c r="M34" s="23">
        <v>40955</v>
      </c>
      <c r="N34" s="22">
        <v>976.42780000000005</v>
      </c>
      <c r="O34">
        <f t="shared" si="1"/>
        <v>1.9151808396733472E-5</v>
      </c>
    </row>
    <row r="35" spans="7:15" x14ac:dyDescent="0.25">
      <c r="G35" s="23">
        <v>40961</v>
      </c>
      <c r="H35" s="22">
        <v>644.08749999999998</v>
      </c>
      <c r="I35">
        <f t="shared" si="0"/>
        <v>-1.1644245026087852E-5</v>
      </c>
      <c r="J35" s="23">
        <v>40961</v>
      </c>
      <c r="K35" s="22">
        <v>815.79200000000003</v>
      </c>
      <c r="L35">
        <f t="shared" si="0"/>
        <v>-1.9612804021962305E-6</v>
      </c>
      <c r="M35" s="23">
        <v>40956</v>
      </c>
      <c r="N35" s="22">
        <v>976.28530000000001</v>
      </c>
      <c r="O35">
        <f t="shared" si="1"/>
        <v>-1.459401299307439E-4</v>
      </c>
    </row>
    <row r="36" spans="7:15" x14ac:dyDescent="0.25">
      <c r="G36" s="23">
        <v>40962</v>
      </c>
      <c r="H36" s="22">
        <v>644.16759999999999</v>
      </c>
      <c r="I36">
        <f t="shared" si="0"/>
        <v>1.2436198497867146E-4</v>
      </c>
      <c r="J36" s="23">
        <v>40962</v>
      </c>
      <c r="K36" s="22">
        <v>815.8777</v>
      </c>
      <c r="L36">
        <f t="shared" si="0"/>
        <v>1.0505128758309112E-4</v>
      </c>
      <c r="M36" s="23">
        <v>40959</v>
      </c>
      <c r="N36" s="22">
        <v>976.28530000000001</v>
      </c>
      <c r="O36">
        <f t="shared" si="1"/>
        <v>0</v>
      </c>
    </row>
    <row r="37" spans="7:15" x14ac:dyDescent="0.25">
      <c r="G37" s="23">
        <v>40963</v>
      </c>
      <c r="H37" s="22">
        <v>644.16899999999998</v>
      </c>
      <c r="I37">
        <f t="shared" si="0"/>
        <v>2.1733474331320224E-6</v>
      </c>
      <c r="J37" s="23">
        <v>40963</v>
      </c>
      <c r="K37" s="22">
        <v>815.88059999999996</v>
      </c>
      <c r="L37">
        <f t="shared" si="0"/>
        <v>3.5544543011134522E-6</v>
      </c>
      <c r="M37" s="23">
        <v>40960</v>
      </c>
      <c r="N37" s="22">
        <v>977.06259999999997</v>
      </c>
      <c r="O37">
        <f t="shared" si="1"/>
        <v>7.961811982624134E-4</v>
      </c>
    </row>
    <row r="38" spans="7:15" x14ac:dyDescent="0.25">
      <c r="G38" s="23">
        <v>40966</v>
      </c>
      <c r="H38" s="22">
        <v>641.27949999999998</v>
      </c>
      <c r="I38">
        <f t="shared" si="0"/>
        <v>-4.4856241141687514E-3</v>
      </c>
      <c r="J38" s="23">
        <v>40966</v>
      </c>
      <c r="K38" s="22">
        <v>815.85739999999998</v>
      </c>
      <c r="L38">
        <f t="shared" si="0"/>
        <v>-2.8435533336534924E-5</v>
      </c>
      <c r="M38" s="23">
        <v>40961</v>
      </c>
      <c r="N38" s="22">
        <v>977.07479999999998</v>
      </c>
      <c r="O38">
        <f t="shared" si="1"/>
        <v>1.2486405681633173E-5</v>
      </c>
    </row>
    <row r="39" spans="7:15" x14ac:dyDescent="0.25">
      <c r="G39" s="23">
        <v>40967</v>
      </c>
      <c r="H39" s="22">
        <v>631.01250000000005</v>
      </c>
      <c r="I39">
        <f t="shared" si="0"/>
        <v>-1.6010179648655476E-2</v>
      </c>
      <c r="J39" s="23">
        <v>40967</v>
      </c>
      <c r="K39" s="22">
        <v>813.072</v>
      </c>
      <c r="L39">
        <f t="shared" si="0"/>
        <v>-3.4140770188515468E-3</v>
      </c>
      <c r="M39" s="23">
        <v>40962</v>
      </c>
      <c r="N39" s="22">
        <v>977.12580000000003</v>
      </c>
      <c r="O39">
        <f t="shared" si="1"/>
        <v>5.2196617904787246E-5</v>
      </c>
    </row>
    <row r="40" spans="7:15" x14ac:dyDescent="0.25">
      <c r="G40" s="23">
        <v>40968</v>
      </c>
      <c r="H40" s="22">
        <v>628.09469999999999</v>
      </c>
      <c r="I40">
        <f t="shared" si="0"/>
        <v>-4.6239971474416608E-3</v>
      </c>
      <c r="J40" s="23">
        <v>40968</v>
      </c>
      <c r="K40" s="22">
        <v>817.20860000000005</v>
      </c>
      <c r="L40">
        <f t="shared" si="0"/>
        <v>5.0876183167050115E-3</v>
      </c>
      <c r="M40" s="23">
        <v>40963</v>
      </c>
      <c r="N40" s="22">
        <v>977.12980000000005</v>
      </c>
      <c r="O40">
        <f t="shared" si="1"/>
        <v>4.093638710678249E-6</v>
      </c>
    </row>
    <row r="41" spans="7:15" x14ac:dyDescent="0.25">
      <c r="G41" s="23">
        <v>40969</v>
      </c>
      <c r="H41" s="22">
        <v>629.95330000000001</v>
      </c>
      <c r="I41">
        <f t="shared" si="0"/>
        <v>2.9591079179620561E-3</v>
      </c>
      <c r="J41" s="23">
        <v>40969</v>
      </c>
      <c r="K41" s="22">
        <v>820.76919999999996</v>
      </c>
      <c r="L41">
        <f t="shared" si="0"/>
        <v>4.357027079744169E-3</v>
      </c>
      <c r="M41" s="23">
        <v>40966</v>
      </c>
      <c r="N41" s="22">
        <v>977.12469999999996</v>
      </c>
      <c r="O41">
        <f t="shared" si="1"/>
        <v>-5.2193679899170675E-6</v>
      </c>
    </row>
    <row r="42" spans="7:15" x14ac:dyDescent="0.25">
      <c r="G42" s="23">
        <v>40970</v>
      </c>
      <c r="H42" s="22">
        <v>629.94529999999997</v>
      </c>
      <c r="I42">
        <f t="shared" si="0"/>
        <v>-1.2699354063339108E-5</v>
      </c>
      <c r="J42" s="23">
        <v>40970</v>
      </c>
      <c r="K42" s="22">
        <v>824.85249999999996</v>
      </c>
      <c r="L42">
        <f t="shared" si="0"/>
        <v>4.9749673842536257E-3</v>
      </c>
      <c r="M42" s="23">
        <v>40967</v>
      </c>
      <c r="N42" s="22">
        <v>977.12130000000002</v>
      </c>
      <c r="O42">
        <f t="shared" si="1"/>
        <v>-3.4795968211209782E-6</v>
      </c>
    </row>
    <row r="43" spans="7:15" x14ac:dyDescent="0.25">
      <c r="G43" s="23">
        <v>40973</v>
      </c>
      <c r="H43" s="22">
        <v>629.95029999999997</v>
      </c>
      <c r="I43">
        <f t="shared" si="0"/>
        <v>7.9371970866937147E-6</v>
      </c>
      <c r="J43" s="23">
        <v>40973</v>
      </c>
      <c r="K43" s="22">
        <v>824.70569999999998</v>
      </c>
      <c r="L43">
        <f t="shared" si="0"/>
        <v>-1.7797121303508856E-4</v>
      </c>
      <c r="M43" s="23">
        <v>40968</v>
      </c>
      <c r="N43" s="22">
        <v>977.13559999999995</v>
      </c>
      <c r="O43">
        <f t="shared" si="1"/>
        <v>1.4634825788784056E-5</v>
      </c>
    </row>
    <row r="44" spans="7:15" x14ac:dyDescent="0.25">
      <c r="G44" s="23">
        <v>40974</v>
      </c>
      <c r="H44" s="22">
        <v>629.94590000000005</v>
      </c>
      <c r="I44">
        <f t="shared" si="0"/>
        <v>-6.9846779975346607E-6</v>
      </c>
      <c r="J44" s="23">
        <v>40974</v>
      </c>
      <c r="K44" s="22">
        <v>824.7011</v>
      </c>
      <c r="L44">
        <f t="shared" si="0"/>
        <v>-5.5777473103590935E-6</v>
      </c>
      <c r="M44" s="23">
        <v>40969</v>
      </c>
      <c r="N44" s="22">
        <v>977.14670000000001</v>
      </c>
      <c r="O44">
        <f t="shared" si="1"/>
        <v>1.1359733490534651E-5</v>
      </c>
    </row>
    <row r="45" spans="7:15" x14ac:dyDescent="0.25">
      <c r="G45" s="23">
        <v>40975</v>
      </c>
      <c r="H45" s="22">
        <v>629.95010000000002</v>
      </c>
      <c r="I45">
        <f t="shared" si="0"/>
        <v>6.6672392025068916E-6</v>
      </c>
      <c r="J45" s="23">
        <v>40975</v>
      </c>
      <c r="K45" s="22">
        <v>824.70719999999994</v>
      </c>
      <c r="L45">
        <f t="shared" si="0"/>
        <v>7.3966192113417151E-6</v>
      </c>
      <c r="M45" s="23">
        <v>40970</v>
      </c>
      <c r="N45" s="22">
        <v>977.13390000000004</v>
      </c>
      <c r="O45">
        <f t="shared" si="1"/>
        <v>-1.3099363688096055E-5</v>
      </c>
    </row>
    <row r="46" spans="7:15" x14ac:dyDescent="0.25">
      <c r="G46" s="23">
        <v>40976</v>
      </c>
      <c r="H46" s="22">
        <v>629.95799999999997</v>
      </c>
      <c r="I46">
        <f t="shared" si="0"/>
        <v>1.2540675840666538E-5</v>
      </c>
      <c r="J46" s="23">
        <v>40976</v>
      </c>
      <c r="K46" s="22">
        <v>824.71450000000004</v>
      </c>
      <c r="L46">
        <f t="shared" si="0"/>
        <v>8.8516263712090648E-6</v>
      </c>
      <c r="M46" s="23">
        <v>40973</v>
      </c>
      <c r="N46" s="22">
        <v>977.13059999999996</v>
      </c>
      <c r="O46">
        <f t="shared" si="1"/>
        <v>-3.3772239403928594E-6</v>
      </c>
    </row>
    <row r="47" spans="7:15" x14ac:dyDescent="0.25">
      <c r="G47" s="23">
        <v>40977</v>
      </c>
      <c r="H47" s="22">
        <v>629.96259999999995</v>
      </c>
      <c r="I47">
        <f t="shared" si="0"/>
        <v>7.3020741064855343E-6</v>
      </c>
      <c r="J47" s="23">
        <v>40977</v>
      </c>
      <c r="K47" s="22">
        <v>832.26829999999995</v>
      </c>
      <c r="L47">
        <f t="shared" si="0"/>
        <v>9.1592908818747265E-3</v>
      </c>
      <c r="M47" s="23">
        <v>40974</v>
      </c>
      <c r="N47" s="22">
        <v>977.1232</v>
      </c>
      <c r="O47">
        <f t="shared" si="1"/>
        <v>-7.5731944122470196E-6</v>
      </c>
    </row>
    <row r="48" spans="7:15" x14ac:dyDescent="0.25">
      <c r="G48" s="23">
        <v>40980</v>
      </c>
      <c r="H48" s="22">
        <v>630.0557</v>
      </c>
      <c r="I48">
        <f t="shared" si="0"/>
        <v>1.4778655113811823E-4</v>
      </c>
      <c r="J48" s="23">
        <v>40980</v>
      </c>
      <c r="K48" s="22">
        <v>832.43330000000003</v>
      </c>
      <c r="L48">
        <f t="shared" si="0"/>
        <v>1.9825337574452817E-4</v>
      </c>
      <c r="M48" s="23">
        <v>40975</v>
      </c>
      <c r="N48" s="22">
        <v>977.12789999999995</v>
      </c>
      <c r="O48">
        <f t="shared" si="1"/>
        <v>4.810038283675766E-6</v>
      </c>
    </row>
    <row r="49" spans="7:15" x14ac:dyDescent="0.25">
      <c r="G49" s="23">
        <v>40981</v>
      </c>
      <c r="H49" s="22">
        <v>630.06529999999998</v>
      </c>
      <c r="I49">
        <f t="shared" si="0"/>
        <v>1.5236748116098653E-5</v>
      </c>
      <c r="J49" s="23">
        <v>40981</v>
      </c>
      <c r="K49" s="22">
        <v>832.4402</v>
      </c>
      <c r="L49">
        <f t="shared" si="0"/>
        <v>8.2889524000151482E-6</v>
      </c>
      <c r="M49" s="23">
        <v>40976</v>
      </c>
      <c r="N49" s="22">
        <v>977.13829999999996</v>
      </c>
      <c r="O49">
        <f t="shared" si="1"/>
        <v>1.0643437773127928E-5</v>
      </c>
    </row>
    <row r="50" spans="7:15" x14ac:dyDescent="0.25">
      <c r="G50" s="23">
        <v>40982</v>
      </c>
      <c r="H50" s="22">
        <v>629.78189999999995</v>
      </c>
      <c r="I50">
        <f t="shared" si="0"/>
        <v>-4.497946482689974E-4</v>
      </c>
      <c r="J50" s="23">
        <v>40982</v>
      </c>
      <c r="K50" s="22">
        <v>832.45899999999995</v>
      </c>
      <c r="L50">
        <f t="shared" si="0"/>
        <v>2.2584204847353462E-5</v>
      </c>
      <c r="M50" s="23">
        <v>40977</v>
      </c>
      <c r="N50" s="22">
        <v>977.14459999999997</v>
      </c>
      <c r="O50">
        <f t="shared" si="1"/>
        <v>6.4473984899837689E-6</v>
      </c>
    </row>
    <row r="51" spans="7:15" x14ac:dyDescent="0.25">
      <c r="G51" s="23">
        <v>40983</v>
      </c>
      <c r="H51" s="22">
        <v>629.73770000000002</v>
      </c>
      <c r="I51">
        <f t="shared" si="0"/>
        <v>-7.0183026854131469E-5</v>
      </c>
      <c r="J51" s="23">
        <v>40983</v>
      </c>
      <c r="K51" s="22">
        <v>832.40189999999996</v>
      </c>
      <c r="L51">
        <f t="shared" si="0"/>
        <v>-6.859196669140033E-5</v>
      </c>
      <c r="M51" s="23">
        <v>40980</v>
      </c>
      <c r="N51" s="22">
        <v>977.50289999999995</v>
      </c>
      <c r="O51">
        <f t="shared" si="1"/>
        <v>3.6668063252864869E-4</v>
      </c>
    </row>
    <row r="52" spans="7:15" x14ac:dyDescent="0.25">
      <c r="G52" s="23">
        <v>40984</v>
      </c>
      <c r="H52" s="22">
        <v>629.7405</v>
      </c>
      <c r="I52">
        <f t="shared" si="0"/>
        <v>4.4462956561019951E-6</v>
      </c>
      <c r="J52" s="23">
        <v>40984</v>
      </c>
      <c r="K52" s="22">
        <v>832.40480000000002</v>
      </c>
      <c r="L52">
        <f t="shared" si="0"/>
        <v>3.4838940181636247E-6</v>
      </c>
      <c r="M52" s="23">
        <v>40981</v>
      </c>
      <c r="N52" s="22">
        <v>977.51869999999997</v>
      </c>
      <c r="O52">
        <f t="shared" si="1"/>
        <v>1.6163634910970615E-5</v>
      </c>
    </row>
    <row r="53" spans="7:15" x14ac:dyDescent="0.25">
      <c r="G53" s="23">
        <v>40987</v>
      </c>
      <c r="H53" s="22">
        <v>629.80820000000006</v>
      </c>
      <c r="I53">
        <f t="shared" si="0"/>
        <v>1.0750459911679222E-4</v>
      </c>
      <c r="J53" s="23">
        <v>40987</v>
      </c>
      <c r="K53" s="22">
        <v>832.46889999999996</v>
      </c>
      <c r="L53">
        <f t="shared" si="0"/>
        <v>7.7005802945784296E-5</v>
      </c>
      <c r="M53" s="23">
        <v>40982</v>
      </c>
      <c r="N53" s="22">
        <v>977.56870000000004</v>
      </c>
      <c r="O53">
        <f t="shared" si="1"/>
        <v>5.1149916620696345E-5</v>
      </c>
    </row>
    <row r="54" spans="7:15" x14ac:dyDescent="0.25">
      <c r="G54" s="23">
        <v>40988</v>
      </c>
      <c r="H54" s="22">
        <v>629.83699999999999</v>
      </c>
      <c r="I54">
        <f t="shared" si="0"/>
        <v>4.5728207412887301E-5</v>
      </c>
      <c r="J54" s="23">
        <v>40988</v>
      </c>
      <c r="K54" s="22">
        <v>832.50429999999994</v>
      </c>
      <c r="L54">
        <f t="shared" si="0"/>
        <v>4.2524111110830987E-5</v>
      </c>
      <c r="M54" s="23">
        <v>40983</v>
      </c>
      <c r="N54" s="22">
        <v>977.57749999999999</v>
      </c>
      <c r="O54">
        <f t="shared" si="1"/>
        <v>9.0019248775163874E-6</v>
      </c>
    </row>
    <row r="55" spans="7:15" x14ac:dyDescent="0.25">
      <c r="G55" s="23">
        <v>40989</v>
      </c>
      <c r="H55" s="22">
        <v>629.79430000000002</v>
      </c>
      <c r="I55">
        <f t="shared" si="0"/>
        <v>-6.7795318471230992E-5</v>
      </c>
      <c r="J55" s="23">
        <v>40989</v>
      </c>
      <c r="K55" s="22">
        <v>832.46860000000004</v>
      </c>
      <c r="L55">
        <f t="shared" si="0"/>
        <v>-4.2882661386745013E-5</v>
      </c>
      <c r="M55" s="23">
        <v>40984</v>
      </c>
      <c r="N55" s="22">
        <v>977.58889999999997</v>
      </c>
      <c r="O55">
        <f t="shared" si="1"/>
        <v>1.1661479524693874E-5</v>
      </c>
    </row>
    <row r="56" spans="7:15" x14ac:dyDescent="0.25">
      <c r="G56" s="23">
        <v>40990</v>
      </c>
      <c r="H56" s="22">
        <v>629.74800000000005</v>
      </c>
      <c r="I56">
        <f t="shared" si="0"/>
        <v>-7.3516067071399682E-5</v>
      </c>
      <c r="J56" s="23">
        <v>40990</v>
      </c>
      <c r="K56" s="22">
        <v>832.41489999999999</v>
      </c>
      <c r="L56">
        <f t="shared" si="0"/>
        <v>-6.4506937558994615E-5</v>
      </c>
      <c r="M56" s="23">
        <v>40987</v>
      </c>
      <c r="N56" s="22">
        <v>977.60119999999995</v>
      </c>
      <c r="O56">
        <f t="shared" si="1"/>
        <v>1.2581975920467059E-5</v>
      </c>
    </row>
    <row r="57" spans="7:15" x14ac:dyDescent="0.25">
      <c r="G57" s="23">
        <v>40991</v>
      </c>
      <c r="H57" s="22">
        <v>629.71979999999996</v>
      </c>
      <c r="I57">
        <f t="shared" si="0"/>
        <v>-4.4779816688711449E-5</v>
      </c>
      <c r="J57" s="23">
        <v>40991</v>
      </c>
      <c r="K57" s="22">
        <v>832.3655</v>
      </c>
      <c r="L57">
        <f t="shared" si="0"/>
        <v>-5.9345405758581826E-5</v>
      </c>
      <c r="M57" s="23">
        <v>40988</v>
      </c>
      <c r="N57" s="22">
        <v>977.62189999999998</v>
      </c>
      <c r="O57">
        <f t="shared" si="1"/>
        <v>2.1174278427738003E-5</v>
      </c>
    </row>
    <row r="58" spans="7:15" x14ac:dyDescent="0.25">
      <c r="G58" s="23">
        <v>40994</v>
      </c>
      <c r="H58" s="22">
        <v>629.71119999999996</v>
      </c>
      <c r="I58">
        <f t="shared" si="0"/>
        <v>-1.3656867705269526E-5</v>
      </c>
      <c r="J58" s="23">
        <v>40994</v>
      </c>
      <c r="K58" s="22">
        <v>832.36189999999999</v>
      </c>
      <c r="L58">
        <f t="shared" si="0"/>
        <v>-4.3250230817859503E-6</v>
      </c>
      <c r="M58" s="23">
        <v>40989</v>
      </c>
      <c r="N58" s="22">
        <v>977.57929999999999</v>
      </c>
      <c r="O58">
        <f t="shared" si="1"/>
        <v>-4.3575128584993905E-5</v>
      </c>
    </row>
    <row r="59" spans="7:15" x14ac:dyDescent="0.25">
      <c r="G59" s="23">
        <v>40995</v>
      </c>
      <c r="H59" s="22">
        <v>629.72500000000002</v>
      </c>
      <c r="I59">
        <f t="shared" si="0"/>
        <v>2.1914807931011637E-5</v>
      </c>
      <c r="J59" s="23">
        <v>40995</v>
      </c>
      <c r="K59" s="22">
        <v>832.36</v>
      </c>
      <c r="L59">
        <f t="shared" si="0"/>
        <v>-2.2826609434867251E-6</v>
      </c>
      <c r="M59" s="23">
        <v>40990</v>
      </c>
      <c r="N59" s="22">
        <v>977.58399999999995</v>
      </c>
      <c r="O59">
        <f t="shared" si="1"/>
        <v>4.8077941092738996E-6</v>
      </c>
    </row>
    <row r="60" spans="7:15" x14ac:dyDescent="0.25">
      <c r="G60" s="23">
        <v>40996</v>
      </c>
      <c r="H60" s="22">
        <v>629.73810000000003</v>
      </c>
      <c r="I60">
        <f t="shared" si="0"/>
        <v>2.0802731351077242E-5</v>
      </c>
      <c r="J60" s="23">
        <v>40996</v>
      </c>
      <c r="K60" s="22">
        <v>832.40110000000004</v>
      </c>
      <c r="L60">
        <f t="shared" si="0"/>
        <v>4.9377673122297239E-5</v>
      </c>
      <c r="M60" s="23">
        <v>40991</v>
      </c>
      <c r="N60" s="22">
        <v>977.58</v>
      </c>
      <c r="O60">
        <f t="shared" si="1"/>
        <v>-4.0917199952694716E-6</v>
      </c>
    </row>
    <row r="61" spans="7:15" x14ac:dyDescent="0.25">
      <c r="G61" s="23">
        <v>40997</v>
      </c>
      <c r="H61" s="22">
        <v>629.74080000000004</v>
      </c>
      <c r="I61">
        <f t="shared" si="0"/>
        <v>4.2874966592609809E-6</v>
      </c>
      <c r="J61" s="23">
        <v>40997</v>
      </c>
      <c r="K61" s="22">
        <v>823.98350000000005</v>
      </c>
      <c r="L61">
        <f t="shared" si="0"/>
        <v>-1.0112432576074193E-2</v>
      </c>
      <c r="M61" s="23">
        <v>40994</v>
      </c>
      <c r="N61" s="22">
        <v>977.58669999999995</v>
      </c>
      <c r="O61">
        <f t="shared" si="1"/>
        <v>6.8536590354106863E-6</v>
      </c>
    </row>
    <row r="62" spans="7:15" x14ac:dyDescent="0.25">
      <c r="G62" s="23">
        <v>40998</v>
      </c>
      <c r="H62" s="22">
        <v>634.23220000000003</v>
      </c>
      <c r="I62">
        <f t="shared" si="0"/>
        <v>7.1321407156721417E-3</v>
      </c>
      <c r="J62" s="23">
        <v>40998</v>
      </c>
      <c r="K62" s="22">
        <v>840.17930000000001</v>
      </c>
      <c r="L62">
        <f t="shared" si="0"/>
        <v>1.9655490674267195E-2</v>
      </c>
      <c r="M62" s="23">
        <v>40995</v>
      </c>
      <c r="N62" s="22">
        <v>977.56410000000005</v>
      </c>
      <c r="O62">
        <f t="shared" si="1"/>
        <v>-2.3118154123702439E-5</v>
      </c>
    </row>
    <row r="63" spans="7:15" x14ac:dyDescent="0.25">
      <c r="G63" s="23">
        <v>41001</v>
      </c>
      <c r="H63" s="22">
        <v>634.2355</v>
      </c>
      <c r="I63">
        <f t="shared" si="0"/>
        <v>5.2031416883924209E-6</v>
      </c>
      <c r="J63" s="23">
        <v>41001</v>
      </c>
      <c r="K63" s="22">
        <v>840.18349999999998</v>
      </c>
      <c r="L63">
        <f t="shared" si="0"/>
        <v>4.9989329657940118E-6</v>
      </c>
      <c r="M63" s="23">
        <v>40996</v>
      </c>
      <c r="N63" s="22">
        <v>977.56849999999997</v>
      </c>
      <c r="O63">
        <f t="shared" si="1"/>
        <v>4.5009836182607899E-6</v>
      </c>
    </row>
    <row r="64" spans="7:15" x14ac:dyDescent="0.25">
      <c r="G64" s="23">
        <v>41002</v>
      </c>
      <c r="H64" s="22">
        <v>634.26210000000003</v>
      </c>
      <c r="I64">
        <f t="shared" si="0"/>
        <v>4.194025720738459E-5</v>
      </c>
      <c r="J64" s="23">
        <v>41002</v>
      </c>
      <c r="K64" s="22">
        <v>840.20870000000002</v>
      </c>
      <c r="L64">
        <f t="shared" si="0"/>
        <v>2.9993447860032774E-5</v>
      </c>
      <c r="M64" s="23">
        <v>40997</v>
      </c>
      <c r="N64" s="22">
        <v>977.57309999999995</v>
      </c>
      <c r="O64">
        <f t="shared" si="1"/>
        <v>4.7055526031236639E-6</v>
      </c>
    </row>
    <row r="65" spans="7:15" x14ac:dyDescent="0.25">
      <c r="G65" s="23">
        <v>41003</v>
      </c>
      <c r="H65" s="22">
        <v>634.29560000000004</v>
      </c>
      <c r="I65">
        <f t="shared" si="0"/>
        <v>5.2817281688488649E-5</v>
      </c>
      <c r="J65" s="23">
        <v>41003</v>
      </c>
      <c r="K65" s="22">
        <v>840.61360000000002</v>
      </c>
      <c r="L65">
        <f t="shared" si="0"/>
        <v>4.8190407930781554E-4</v>
      </c>
      <c r="M65" s="23">
        <v>40998</v>
      </c>
      <c r="N65" s="22">
        <v>977.56550000000004</v>
      </c>
      <c r="O65">
        <f t="shared" si="1"/>
        <v>-7.7743546748054726E-6</v>
      </c>
    </row>
    <row r="66" spans="7:15" x14ac:dyDescent="0.25">
      <c r="G66" s="23">
        <v>41004</v>
      </c>
      <c r="H66" s="22">
        <v>634.07349999999997</v>
      </c>
      <c r="I66">
        <f t="shared" si="0"/>
        <v>-3.5015220033063343E-4</v>
      </c>
      <c r="J66" s="23">
        <v>41004</v>
      </c>
      <c r="K66" s="22">
        <v>840.60879999999997</v>
      </c>
      <c r="L66">
        <f t="shared" si="0"/>
        <v>-5.7101146115901003E-6</v>
      </c>
      <c r="M66" s="23">
        <v>41001</v>
      </c>
      <c r="N66" s="22">
        <v>977.57510000000002</v>
      </c>
      <c r="O66">
        <f t="shared" si="1"/>
        <v>9.8203138305663629E-6</v>
      </c>
    </row>
    <row r="67" spans="7:15" x14ac:dyDescent="0.25">
      <c r="G67" s="23">
        <v>41008</v>
      </c>
      <c r="H67" s="22">
        <v>633.39819999999997</v>
      </c>
      <c r="I67">
        <f t="shared" si="0"/>
        <v>-1.0650184876043189E-3</v>
      </c>
      <c r="J67" s="23">
        <v>41008</v>
      </c>
      <c r="K67" s="22">
        <v>841.14940000000001</v>
      </c>
      <c r="L67">
        <f t="shared" si="0"/>
        <v>6.4310533032729822E-4</v>
      </c>
      <c r="M67" s="23">
        <v>41002</v>
      </c>
      <c r="N67" s="22">
        <v>977.57309999999995</v>
      </c>
      <c r="O67">
        <f t="shared" si="1"/>
        <v>-2.0458786236243753E-6</v>
      </c>
    </row>
    <row r="68" spans="7:15" x14ac:dyDescent="0.25">
      <c r="G68" s="23">
        <v>41009</v>
      </c>
      <c r="H68" s="22">
        <v>633.42359999999996</v>
      </c>
      <c r="I68">
        <f t="shared" ref="I68:L131" si="2">H68/H67-1</f>
        <v>4.0101155955207801E-5</v>
      </c>
      <c r="J68" s="23">
        <v>41009</v>
      </c>
      <c r="K68" s="22">
        <v>841.11900000000003</v>
      </c>
      <c r="L68">
        <f t="shared" si="2"/>
        <v>-3.6141023223690283E-5</v>
      </c>
      <c r="M68" s="23">
        <v>41003</v>
      </c>
      <c r="N68" s="22">
        <v>977.60220000000004</v>
      </c>
      <c r="O68">
        <f t="shared" ref="O68:O131" si="3">N68/N67-1</f>
        <v>2.9767594873497671E-5</v>
      </c>
    </row>
    <row r="69" spans="7:15" x14ac:dyDescent="0.25">
      <c r="G69" s="23">
        <v>41010</v>
      </c>
      <c r="H69" s="22">
        <v>644.21820000000002</v>
      </c>
      <c r="I69">
        <f t="shared" si="2"/>
        <v>1.7041676375809223E-2</v>
      </c>
      <c r="J69" s="23">
        <v>41010</v>
      </c>
      <c r="K69" s="22">
        <v>845.50019999999995</v>
      </c>
      <c r="L69">
        <f t="shared" si="2"/>
        <v>5.208775452700376E-3</v>
      </c>
      <c r="M69" s="23">
        <v>41004</v>
      </c>
      <c r="N69" s="22">
        <v>977.5385</v>
      </c>
      <c r="O69">
        <f t="shared" si="3"/>
        <v>-6.5159427832806038E-5</v>
      </c>
    </row>
    <row r="70" spans="7:15" x14ac:dyDescent="0.25">
      <c r="G70" s="23">
        <v>41011</v>
      </c>
      <c r="H70" s="22">
        <v>644.22310000000004</v>
      </c>
      <c r="I70">
        <f t="shared" si="2"/>
        <v>7.6061185481091087E-6</v>
      </c>
      <c r="J70" s="23">
        <v>41011</v>
      </c>
      <c r="K70" s="22">
        <v>845.49009999999998</v>
      </c>
      <c r="L70">
        <f t="shared" si="2"/>
        <v>-1.1945591497197761E-5</v>
      </c>
      <c r="M70" s="23">
        <v>41005</v>
      </c>
      <c r="N70" s="22">
        <v>977.5385</v>
      </c>
      <c r="O70">
        <f t="shared" si="3"/>
        <v>0</v>
      </c>
    </row>
    <row r="71" spans="7:15" x14ac:dyDescent="0.25">
      <c r="G71" s="23">
        <v>41012</v>
      </c>
      <c r="H71" s="22">
        <v>643.3596</v>
      </c>
      <c r="I71">
        <f t="shared" si="2"/>
        <v>-1.3403741654095525E-3</v>
      </c>
      <c r="J71" s="23">
        <v>41012</v>
      </c>
      <c r="K71" s="22">
        <v>845.5444</v>
      </c>
      <c r="L71">
        <f t="shared" si="2"/>
        <v>6.4223105628258281E-5</v>
      </c>
      <c r="M71" s="23">
        <v>41008</v>
      </c>
      <c r="N71" s="22">
        <v>977.51909999999998</v>
      </c>
      <c r="O71">
        <f t="shared" si="3"/>
        <v>-1.9845765665493786E-5</v>
      </c>
    </row>
    <row r="72" spans="7:15" x14ac:dyDescent="0.25">
      <c r="G72" s="23">
        <v>41015</v>
      </c>
      <c r="H72" s="22">
        <v>643.40589999999997</v>
      </c>
      <c r="I72">
        <f t="shared" si="2"/>
        <v>7.1965973617249546E-5</v>
      </c>
      <c r="J72" s="23">
        <v>41015</v>
      </c>
      <c r="K72" s="22">
        <v>845.57569999999998</v>
      </c>
      <c r="L72">
        <f t="shared" si="2"/>
        <v>3.7017571164810192E-5</v>
      </c>
      <c r="M72" s="23">
        <v>41009</v>
      </c>
      <c r="N72" s="22">
        <v>977.51170000000002</v>
      </c>
      <c r="O72">
        <f t="shared" si="3"/>
        <v>-7.570184562100124E-6</v>
      </c>
    </row>
    <row r="73" spans="7:15" x14ac:dyDescent="0.25">
      <c r="G73" s="23">
        <v>41016</v>
      </c>
      <c r="H73" s="22">
        <v>668.19870000000003</v>
      </c>
      <c r="I73">
        <f t="shared" si="2"/>
        <v>3.8533684568326176E-2</v>
      </c>
      <c r="J73" s="23">
        <v>41016</v>
      </c>
      <c r="K73" s="22">
        <v>870.87940000000003</v>
      </c>
      <c r="L73">
        <f t="shared" si="2"/>
        <v>2.992481926810342E-2</v>
      </c>
      <c r="M73" s="23">
        <v>41010</v>
      </c>
      <c r="N73" s="22">
        <v>983.30679999999995</v>
      </c>
      <c r="O73">
        <f t="shared" si="3"/>
        <v>5.928420089498676E-3</v>
      </c>
    </row>
    <row r="74" spans="7:15" x14ac:dyDescent="0.25">
      <c r="G74" s="23">
        <v>41017</v>
      </c>
      <c r="H74" s="22">
        <v>667.99620000000004</v>
      </c>
      <c r="I74">
        <f t="shared" si="2"/>
        <v>-3.0305356774862346E-4</v>
      </c>
      <c r="J74" s="23">
        <v>41017</v>
      </c>
      <c r="K74" s="22">
        <v>870.68259999999998</v>
      </c>
      <c r="L74">
        <f t="shared" si="2"/>
        <v>-2.259784764687689E-4</v>
      </c>
      <c r="M74" s="23">
        <v>41011</v>
      </c>
      <c r="N74" s="22">
        <v>983.39919999999995</v>
      </c>
      <c r="O74">
        <f t="shared" si="3"/>
        <v>9.3968637255414933E-5</v>
      </c>
    </row>
    <row r="75" spans="7:15" x14ac:dyDescent="0.25">
      <c r="G75" s="23">
        <v>41018</v>
      </c>
      <c r="H75" s="22">
        <v>667.99980000000005</v>
      </c>
      <c r="I75">
        <f t="shared" si="2"/>
        <v>5.389252214271778E-6</v>
      </c>
      <c r="J75" s="23">
        <v>41018</v>
      </c>
      <c r="K75" s="22">
        <v>870.68949999999995</v>
      </c>
      <c r="L75">
        <f t="shared" si="2"/>
        <v>7.9248166897638583E-6</v>
      </c>
      <c r="M75" s="23">
        <v>41012</v>
      </c>
      <c r="N75" s="22">
        <v>983.38990000000001</v>
      </c>
      <c r="O75">
        <f t="shared" si="3"/>
        <v>-9.4569936602839633E-6</v>
      </c>
    </row>
    <row r="76" spans="7:15" x14ac:dyDescent="0.25">
      <c r="G76" s="23">
        <v>41019</v>
      </c>
      <c r="H76" s="22">
        <v>666.47270000000003</v>
      </c>
      <c r="I76">
        <f t="shared" si="2"/>
        <v>-2.2860785287660557E-3</v>
      </c>
      <c r="J76" s="23">
        <v>41019</v>
      </c>
      <c r="K76" s="22">
        <v>870.5634</v>
      </c>
      <c r="L76">
        <f t="shared" si="2"/>
        <v>-1.4482774858315395E-4</v>
      </c>
      <c r="M76" s="23">
        <v>41015</v>
      </c>
      <c r="N76" s="22">
        <v>983.38649999999996</v>
      </c>
      <c r="O76">
        <f t="shared" si="3"/>
        <v>-3.457428228714754E-6</v>
      </c>
    </row>
    <row r="77" spans="7:15" x14ac:dyDescent="0.25">
      <c r="G77" s="23">
        <v>41022</v>
      </c>
      <c r="H77" s="22">
        <v>664.02800000000002</v>
      </c>
      <c r="I77">
        <f t="shared" si="2"/>
        <v>-3.6681172387106331E-3</v>
      </c>
      <c r="J77" s="23">
        <v>41022</v>
      </c>
      <c r="K77" s="22">
        <v>867.49919999999997</v>
      </c>
      <c r="L77">
        <f t="shared" si="2"/>
        <v>-3.5197895983222205E-3</v>
      </c>
      <c r="M77" s="23">
        <v>41016</v>
      </c>
      <c r="N77" s="22">
        <v>1012.474</v>
      </c>
      <c r="O77">
        <f t="shared" si="3"/>
        <v>2.9578909208129334E-2</v>
      </c>
    </row>
    <row r="78" spans="7:15" x14ac:dyDescent="0.25">
      <c r="G78" s="23">
        <v>41023</v>
      </c>
      <c r="H78" s="22">
        <v>664.04190000000006</v>
      </c>
      <c r="I78">
        <f t="shared" si="2"/>
        <v>2.0932852229149645E-5</v>
      </c>
      <c r="J78" s="23">
        <v>41023</v>
      </c>
      <c r="K78" s="22">
        <v>867.49919999999997</v>
      </c>
      <c r="L78">
        <f t="shared" si="2"/>
        <v>0</v>
      </c>
      <c r="M78" s="23">
        <v>41017</v>
      </c>
      <c r="N78" s="22">
        <v>1012.806</v>
      </c>
      <c r="O78">
        <f t="shared" si="3"/>
        <v>3.2790965496398705E-4</v>
      </c>
    </row>
    <row r="79" spans="7:15" x14ac:dyDescent="0.25">
      <c r="G79" s="23">
        <v>41024</v>
      </c>
      <c r="H79" s="22">
        <v>663.9769</v>
      </c>
      <c r="I79">
        <f t="shared" si="2"/>
        <v>-9.7885389461205285E-5</v>
      </c>
      <c r="J79" s="23">
        <v>41024</v>
      </c>
      <c r="K79" s="22">
        <v>867.45609999999999</v>
      </c>
      <c r="L79">
        <f t="shared" si="2"/>
        <v>-4.9683042935400046E-5</v>
      </c>
      <c r="M79" s="23">
        <v>41018</v>
      </c>
      <c r="N79" s="22">
        <v>1012.8150000000001</v>
      </c>
      <c r="O79">
        <f t="shared" si="3"/>
        <v>8.8862032807668356E-6</v>
      </c>
    </row>
    <row r="80" spans="7:15" x14ac:dyDescent="0.25">
      <c r="G80" s="23">
        <v>41025</v>
      </c>
      <c r="H80" s="22">
        <v>663.98180000000002</v>
      </c>
      <c r="I80">
        <f t="shared" si="2"/>
        <v>7.3797748083581638E-6</v>
      </c>
      <c r="J80" s="23">
        <v>41025</v>
      </c>
      <c r="K80" s="22">
        <v>865.51649999999995</v>
      </c>
      <c r="L80">
        <f t="shared" si="2"/>
        <v>-2.2359632954336295E-3</v>
      </c>
      <c r="M80" s="23">
        <v>41019</v>
      </c>
      <c r="N80" s="22">
        <v>1012.274</v>
      </c>
      <c r="O80">
        <f t="shared" si="3"/>
        <v>-5.3415480615914834E-4</v>
      </c>
    </row>
    <row r="81" spans="7:15" x14ac:dyDescent="0.25">
      <c r="G81" s="23">
        <v>41026</v>
      </c>
      <c r="H81" s="22">
        <v>663.97810000000004</v>
      </c>
      <c r="I81">
        <f t="shared" si="2"/>
        <v>-5.5724418952518562E-6</v>
      </c>
      <c r="J81" s="23">
        <v>41026</v>
      </c>
      <c r="K81" s="22">
        <v>865.42110000000002</v>
      </c>
      <c r="L81">
        <f t="shared" si="2"/>
        <v>-1.1022320198394997E-4</v>
      </c>
      <c r="M81" s="23">
        <v>41022</v>
      </c>
      <c r="N81" s="22">
        <v>1011.8339999999999</v>
      </c>
      <c r="O81">
        <f t="shared" si="3"/>
        <v>-4.3466492273835922E-4</v>
      </c>
    </row>
    <row r="82" spans="7:15" x14ac:dyDescent="0.25">
      <c r="G82" s="23">
        <v>41029</v>
      </c>
      <c r="H82" s="22">
        <v>663.56389999999999</v>
      </c>
      <c r="I82">
        <f t="shared" si="2"/>
        <v>-6.2381575536907263E-4</v>
      </c>
      <c r="J82" s="23">
        <v>41029</v>
      </c>
      <c r="K82" s="22">
        <v>864.96280000000002</v>
      </c>
      <c r="L82">
        <f t="shared" si="2"/>
        <v>-5.295687844911745E-4</v>
      </c>
      <c r="M82" s="23">
        <v>41023</v>
      </c>
      <c r="N82" s="22">
        <v>1011.783</v>
      </c>
      <c r="O82">
        <f t="shared" si="3"/>
        <v>-5.0403524688769075E-5</v>
      </c>
    </row>
    <row r="83" spans="7:15" x14ac:dyDescent="0.25">
      <c r="G83" s="23">
        <v>41030</v>
      </c>
      <c r="H83" s="22">
        <v>662.69920000000002</v>
      </c>
      <c r="I83">
        <f t="shared" si="2"/>
        <v>-1.3031148921753832E-3</v>
      </c>
      <c r="J83" s="23">
        <v>41030</v>
      </c>
      <c r="K83" s="22">
        <v>862.47749999999996</v>
      </c>
      <c r="L83">
        <f t="shared" si="2"/>
        <v>-2.8733027593788041E-3</v>
      </c>
      <c r="M83" s="23">
        <v>41024</v>
      </c>
      <c r="N83" s="22">
        <v>1011.794</v>
      </c>
      <c r="O83">
        <f t="shared" si="3"/>
        <v>1.0871896444220042E-5</v>
      </c>
    </row>
    <row r="84" spans="7:15" x14ac:dyDescent="0.25">
      <c r="G84" s="23">
        <v>41031</v>
      </c>
      <c r="H84" s="22">
        <v>662.70339999999999</v>
      </c>
      <c r="I84">
        <f t="shared" si="2"/>
        <v>6.3377170214096168E-6</v>
      </c>
      <c r="J84" s="23">
        <v>41031</v>
      </c>
      <c r="K84" s="22">
        <v>862.48</v>
      </c>
      <c r="L84">
        <f t="shared" si="2"/>
        <v>2.8986263409525037E-6</v>
      </c>
      <c r="M84" s="23">
        <v>41025</v>
      </c>
      <c r="N84" s="22">
        <v>1011.7809999999999</v>
      </c>
      <c r="O84">
        <f t="shared" si="3"/>
        <v>-1.2848465201442671E-5</v>
      </c>
    </row>
    <row r="85" spans="7:15" x14ac:dyDescent="0.25">
      <c r="G85" s="23">
        <v>41032</v>
      </c>
      <c r="H85" s="22">
        <v>662.70420000000001</v>
      </c>
      <c r="I85">
        <f t="shared" si="2"/>
        <v>1.2071765438381732E-6</v>
      </c>
      <c r="J85" s="23">
        <v>41032</v>
      </c>
      <c r="K85" s="22">
        <v>862.48109999999997</v>
      </c>
      <c r="L85">
        <f t="shared" si="2"/>
        <v>1.2753918929853114E-6</v>
      </c>
      <c r="M85" s="23">
        <v>41026</v>
      </c>
      <c r="N85" s="22">
        <v>1011.785</v>
      </c>
      <c r="O85">
        <f t="shared" si="3"/>
        <v>3.9534247036066006E-6</v>
      </c>
    </row>
    <row r="86" spans="7:15" x14ac:dyDescent="0.25">
      <c r="G86" s="23">
        <v>41033</v>
      </c>
      <c r="H86" s="22">
        <v>661.75350000000003</v>
      </c>
      <c r="I86">
        <f t="shared" si="2"/>
        <v>-1.434576693493117E-3</v>
      </c>
      <c r="J86" s="23">
        <v>41033</v>
      </c>
      <c r="K86" s="22">
        <v>861.4606</v>
      </c>
      <c r="L86">
        <f t="shared" si="2"/>
        <v>-1.1832143336242273E-3</v>
      </c>
      <c r="M86" s="23">
        <v>41029</v>
      </c>
      <c r="N86" s="22">
        <v>1011.779</v>
      </c>
      <c r="O86">
        <f t="shared" si="3"/>
        <v>-5.9301136110523345E-6</v>
      </c>
    </row>
    <row r="87" spans="7:15" x14ac:dyDescent="0.25">
      <c r="G87" s="23">
        <v>41036</v>
      </c>
      <c r="H87" s="22">
        <v>659.19920000000002</v>
      </c>
      <c r="I87">
        <f t="shared" si="2"/>
        <v>-3.8598964720246709E-3</v>
      </c>
      <c r="J87" s="23">
        <v>41036</v>
      </c>
      <c r="K87" s="22">
        <v>861.4058</v>
      </c>
      <c r="L87">
        <f t="shared" si="2"/>
        <v>-6.3612891872288913E-5</v>
      </c>
      <c r="M87" s="23">
        <v>41030</v>
      </c>
      <c r="N87" s="22">
        <v>1011.79</v>
      </c>
      <c r="O87">
        <f t="shared" si="3"/>
        <v>1.0871939425394217E-5</v>
      </c>
    </row>
    <row r="88" spans="7:15" x14ac:dyDescent="0.25">
      <c r="G88" s="23">
        <v>41037</v>
      </c>
      <c r="H88" s="22">
        <v>659.19770000000005</v>
      </c>
      <c r="I88">
        <f t="shared" si="2"/>
        <v>-2.2754881983111375E-6</v>
      </c>
      <c r="J88" s="23">
        <v>41037</v>
      </c>
      <c r="K88" s="22">
        <v>861.4058</v>
      </c>
      <c r="L88">
        <f t="shared" si="2"/>
        <v>0</v>
      </c>
      <c r="M88" s="23">
        <v>41031</v>
      </c>
      <c r="N88" s="22">
        <v>1011.788</v>
      </c>
      <c r="O88">
        <f t="shared" si="3"/>
        <v>-1.9766947686461478E-6</v>
      </c>
    </row>
    <row r="89" spans="7:15" x14ac:dyDescent="0.25">
      <c r="G89" s="23">
        <v>41038</v>
      </c>
      <c r="H89" s="22">
        <v>655.78809999999999</v>
      </c>
      <c r="I89">
        <f t="shared" si="2"/>
        <v>-5.1723481438118446E-3</v>
      </c>
      <c r="J89" s="23">
        <v>41038</v>
      </c>
      <c r="K89" s="22">
        <v>860.22180000000003</v>
      </c>
      <c r="L89">
        <f t="shared" si="2"/>
        <v>-1.3744973623348589E-3</v>
      </c>
      <c r="M89" s="23">
        <v>41032</v>
      </c>
      <c r="N89" s="22">
        <v>1011.793</v>
      </c>
      <c r="O89">
        <f t="shared" si="3"/>
        <v>4.9417466900791851E-6</v>
      </c>
    </row>
    <row r="90" spans="7:15" x14ac:dyDescent="0.25">
      <c r="G90" s="23">
        <v>41039</v>
      </c>
      <c r="H90" s="22">
        <v>655.81179999999995</v>
      </c>
      <c r="I90">
        <f t="shared" si="2"/>
        <v>3.6139722571881805E-5</v>
      </c>
      <c r="J90" s="23">
        <v>41039</v>
      </c>
      <c r="K90" s="22">
        <v>860.28679999999997</v>
      </c>
      <c r="L90">
        <f t="shared" si="2"/>
        <v>7.5561907405763407E-5</v>
      </c>
      <c r="M90" s="23">
        <v>41033</v>
      </c>
      <c r="N90" s="22">
        <v>1011.8339999999999</v>
      </c>
      <c r="O90">
        <f t="shared" si="3"/>
        <v>4.0522122608077638E-5</v>
      </c>
    </row>
    <row r="91" spans="7:15" x14ac:dyDescent="0.25">
      <c r="G91" s="23">
        <v>41040</v>
      </c>
      <c r="H91" s="22">
        <v>655.72820000000002</v>
      </c>
      <c r="I91">
        <f t="shared" si="2"/>
        <v>-1.2747559589498803E-4</v>
      </c>
      <c r="J91" s="23">
        <v>41040</v>
      </c>
      <c r="K91" s="22">
        <v>860.18129999999996</v>
      </c>
      <c r="L91">
        <f t="shared" si="2"/>
        <v>-1.2263352175112541E-4</v>
      </c>
      <c r="M91" s="23">
        <v>41036</v>
      </c>
      <c r="N91" s="22">
        <v>1011.229</v>
      </c>
      <c r="O91">
        <f t="shared" si="3"/>
        <v>-5.979241654262557E-4</v>
      </c>
    </row>
    <row r="92" spans="7:15" x14ac:dyDescent="0.25">
      <c r="G92" s="23">
        <v>41043</v>
      </c>
      <c r="H92" s="22">
        <v>655.73919999999998</v>
      </c>
      <c r="I92">
        <f t="shared" si="2"/>
        <v>1.6775243157018949E-5</v>
      </c>
      <c r="J92" s="23">
        <v>41043</v>
      </c>
      <c r="K92" s="22">
        <v>860.13779999999997</v>
      </c>
      <c r="L92">
        <f t="shared" si="2"/>
        <v>-5.0570734332344713E-5</v>
      </c>
      <c r="M92" s="23">
        <v>41037</v>
      </c>
      <c r="N92" s="22">
        <v>1011.22</v>
      </c>
      <c r="O92">
        <f t="shared" si="3"/>
        <v>-8.9000612126799439E-6</v>
      </c>
    </row>
    <row r="93" spans="7:15" x14ac:dyDescent="0.25">
      <c r="G93" s="23">
        <v>41044</v>
      </c>
      <c r="H93" s="22">
        <v>648.53110000000004</v>
      </c>
      <c r="I93">
        <f t="shared" si="2"/>
        <v>-1.0992327437493343E-2</v>
      </c>
      <c r="J93" s="23">
        <v>41044</v>
      </c>
      <c r="K93" s="22">
        <v>855.01390000000004</v>
      </c>
      <c r="L93">
        <f t="shared" si="2"/>
        <v>-5.9570687394507882E-3</v>
      </c>
      <c r="M93" s="23">
        <v>41038</v>
      </c>
      <c r="N93" s="22">
        <v>1011.199</v>
      </c>
      <c r="O93">
        <f t="shared" si="3"/>
        <v>-2.0766994323739851E-5</v>
      </c>
    </row>
    <row r="94" spans="7:15" x14ac:dyDescent="0.25">
      <c r="G94" s="23">
        <v>41045</v>
      </c>
      <c r="H94" s="22">
        <v>664.50620000000004</v>
      </c>
      <c r="I94">
        <f t="shared" si="2"/>
        <v>2.4632743132904533E-2</v>
      </c>
      <c r="J94" s="23">
        <v>41045</v>
      </c>
      <c r="K94" s="22">
        <v>875.45899999999995</v>
      </c>
      <c r="L94">
        <f t="shared" si="2"/>
        <v>2.3912008915878413E-2</v>
      </c>
      <c r="M94" s="23">
        <v>41039</v>
      </c>
      <c r="N94" s="22">
        <v>1011.819</v>
      </c>
      <c r="O94">
        <f t="shared" si="3"/>
        <v>6.1313351773484293E-4</v>
      </c>
    </row>
    <row r="95" spans="7:15" x14ac:dyDescent="0.25">
      <c r="G95" s="23">
        <v>41046</v>
      </c>
      <c r="H95" s="22">
        <v>662.86760000000004</v>
      </c>
      <c r="I95">
        <f t="shared" si="2"/>
        <v>-2.4658912136560351E-3</v>
      </c>
      <c r="J95" s="23">
        <v>41046</v>
      </c>
      <c r="K95" s="22">
        <v>875.41010000000006</v>
      </c>
      <c r="L95">
        <f t="shared" si="2"/>
        <v>-5.5856413606947264E-5</v>
      </c>
      <c r="M95" s="23">
        <v>41040</v>
      </c>
      <c r="N95" s="22">
        <v>1011.817</v>
      </c>
      <c r="O95">
        <f t="shared" si="3"/>
        <v>-1.9766381140762235E-6</v>
      </c>
    </row>
    <row r="96" spans="7:15" x14ac:dyDescent="0.25">
      <c r="G96" s="23">
        <v>41047</v>
      </c>
      <c r="H96" s="22">
        <v>661.39890000000003</v>
      </c>
      <c r="I96">
        <f t="shared" si="2"/>
        <v>-2.215676252693588E-3</v>
      </c>
      <c r="J96" s="23">
        <v>41047</v>
      </c>
      <c r="K96" s="22">
        <v>875.35029999999995</v>
      </c>
      <c r="L96">
        <f t="shared" si="2"/>
        <v>-6.8310840827701114E-5</v>
      </c>
      <c r="M96" s="23">
        <v>41043</v>
      </c>
      <c r="N96" s="22">
        <v>1011.814</v>
      </c>
      <c r="O96">
        <f t="shared" si="3"/>
        <v>-2.9649630318706599E-6</v>
      </c>
    </row>
    <row r="97" spans="7:15" x14ac:dyDescent="0.25">
      <c r="G97" s="23">
        <v>41050</v>
      </c>
      <c r="H97" s="22">
        <v>661.08190000000002</v>
      </c>
      <c r="I97">
        <f t="shared" si="2"/>
        <v>-4.7928715938294619E-4</v>
      </c>
      <c r="J97" s="23">
        <v>41050</v>
      </c>
      <c r="K97" s="22">
        <v>872.44069999999999</v>
      </c>
      <c r="L97">
        <f t="shared" si="2"/>
        <v>-3.3239264326521134E-3</v>
      </c>
      <c r="M97" s="23">
        <v>41044</v>
      </c>
      <c r="N97" s="22">
        <v>1011.818</v>
      </c>
      <c r="O97">
        <f t="shared" si="3"/>
        <v>3.9532957638588329E-6</v>
      </c>
    </row>
    <row r="98" spans="7:15" x14ac:dyDescent="0.25">
      <c r="G98" s="23">
        <v>41051</v>
      </c>
      <c r="H98" s="22">
        <v>661.4307</v>
      </c>
      <c r="I98">
        <f t="shared" si="2"/>
        <v>5.2761995147654339E-4</v>
      </c>
      <c r="J98" s="23">
        <v>41051</v>
      </c>
      <c r="K98" s="22">
        <v>873.01340000000005</v>
      </c>
      <c r="L98">
        <f t="shared" si="2"/>
        <v>6.5643429977546575E-4</v>
      </c>
      <c r="M98" s="23">
        <v>41045</v>
      </c>
      <c r="N98" s="22">
        <v>1034.0830000000001</v>
      </c>
      <c r="O98">
        <f t="shared" si="3"/>
        <v>2.2004945553449451E-2</v>
      </c>
    </row>
    <row r="99" spans="7:15" x14ac:dyDescent="0.25">
      <c r="G99" s="23">
        <v>41052</v>
      </c>
      <c r="H99" s="22">
        <v>665.4049</v>
      </c>
      <c r="I99">
        <f t="shared" si="2"/>
        <v>6.0084903830439629E-3</v>
      </c>
      <c r="J99" s="23">
        <v>41052</v>
      </c>
      <c r="K99" s="22">
        <v>893.47149999999999</v>
      </c>
      <c r="L99">
        <f t="shared" si="2"/>
        <v>2.3433890018182968E-2</v>
      </c>
      <c r="M99" s="23">
        <v>41046</v>
      </c>
      <c r="N99" s="22">
        <v>1034.077</v>
      </c>
      <c r="O99">
        <f t="shared" si="3"/>
        <v>-5.8022421798309409E-6</v>
      </c>
    </row>
    <row r="100" spans="7:15" x14ac:dyDescent="0.25">
      <c r="G100" s="23">
        <v>41053</v>
      </c>
      <c r="H100" s="22">
        <v>665.42539999999997</v>
      </c>
      <c r="I100">
        <f t="shared" si="2"/>
        <v>3.0808309346541662E-5</v>
      </c>
      <c r="J100" s="23">
        <v>41053</v>
      </c>
      <c r="K100" s="22">
        <v>893.50379999999996</v>
      </c>
      <c r="L100">
        <f t="shared" si="2"/>
        <v>3.6151125133887518E-5</v>
      </c>
      <c r="M100" s="23">
        <v>41047</v>
      </c>
      <c r="N100" s="22">
        <v>1034.0740000000001</v>
      </c>
      <c r="O100">
        <f t="shared" si="3"/>
        <v>-2.9011379228949252E-6</v>
      </c>
    </row>
    <row r="101" spans="7:15" x14ac:dyDescent="0.25">
      <c r="G101" s="23">
        <v>41054</v>
      </c>
      <c r="H101" s="22">
        <v>665.14610000000005</v>
      </c>
      <c r="I101">
        <f t="shared" si="2"/>
        <v>-4.1973149807617016E-4</v>
      </c>
      <c r="J101" s="23">
        <v>41054</v>
      </c>
      <c r="K101" s="22">
        <v>893.0249</v>
      </c>
      <c r="L101">
        <f t="shared" si="2"/>
        <v>-5.359798134042526E-4</v>
      </c>
      <c r="M101" s="23">
        <v>41050</v>
      </c>
      <c r="N101" s="22">
        <v>1034.4970000000001</v>
      </c>
      <c r="O101">
        <f t="shared" si="3"/>
        <v>4.090616338869868E-4</v>
      </c>
    </row>
    <row r="102" spans="7:15" x14ac:dyDescent="0.25">
      <c r="G102" s="23">
        <v>41058</v>
      </c>
      <c r="H102" s="22">
        <v>665.14689999999996</v>
      </c>
      <c r="I102">
        <f t="shared" si="2"/>
        <v>1.2027432769734503E-6</v>
      </c>
      <c r="J102" s="23">
        <v>41058</v>
      </c>
      <c r="K102" s="22">
        <v>893.02470000000005</v>
      </c>
      <c r="L102">
        <f t="shared" si="2"/>
        <v>-2.2395792098617306E-7</v>
      </c>
      <c r="M102" s="23">
        <v>41051</v>
      </c>
      <c r="N102" s="22">
        <v>1034.4870000000001</v>
      </c>
      <c r="O102">
        <f t="shared" si="3"/>
        <v>-9.6665335906909178E-6</v>
      </c>
    </row>
    <row r="103" spans="7:15" x14ac:dyDescent="0.25">
      <c r="G103" s="23">
        <v>41059</v>
      </c>
      <c r="H103" s="22">
        <v>665.14449999999999</v>
      </c>
      <c r="I103">
        <f t="shared" si="2"/>
        <v>-3.6082254911695699E-6</v>
      </c>
      <c r="J103" s="23">
        <v>41059</v>
      </c>
      <c r="K103" s="22">
        <v>893.02260000000001</v>
      </c>
      <c r="L103">
        <f t="shared" si="2"/>
        <v>-2.3515586971001312E-6</v>
      </c>
      <c r="M103" s="23">
        <v>41052</v>
      </c>
      <c r="N103" s="22">
        <v>1058.143</v>
      </c>
      <c r="O103">
        <f t="shared" si="3"/>
        <v>2.2867372910437611E-2</v>
      </c>
    </row>
    <row r="104" spans="7:15" x14ac:dyDescent="0.25">
      <c r="G104" s="23">
        <v>41060</v>
      </c>
      <c r="H104" s="22">
        <v>656.3931</v>
      </c>
      <c r="I104">
        <f t="shared" si="2"/>
        <v>-1.3157141042284826E-2</v>
      </c>
      <c r="J104" s="23">
        <v>41060</v>
      </c>
      <c r="K104" s="22">
        <v>882.37130000000002</v>
      </c>
      <c r="L104">
        <f t="shared" si="2"/>
        <v>-1.1927245738237779E-2</v>
      </c>
      <c r="M104" s="23">
        <v>41053</v>
      </c>
      <c r="N104" s="22">
        <v>1058.1579999999999</v>
      </c>
      <c r="O104">
        <f t="shared" si="3"/>
        <v>1.417577775386647E-5</v>
      </c>
    </row>
    <row r="105" spans="7:15" x14ac:dyDescent="0.25">
      <c r="G105" s="23">
        <v>41061</v>
      </c>
      <c r="H105" s="22">
        <v>656.38580000000002</v>
      </c>
      <c r="I105">
        <f t="shared" si="2"/>
        <v>-1.1121384426493464E-5</v>
      </c>
      <c r="J105" s="23">
        <v>41061</v>
      </c>
      <c r="K105" s="22">
        <v>882.36490000000003</v>
      </c>
      <c r="L105">
        <f t="shared" si="2"/>
        <v>-7.2531824187871408E-6</v>
      </c>
      <c r="M105" s="23">
        <v>41054</v>
      </c>
      <c r="N105" s="22">
        <v>1058.154</v>
      </c>
      <c r="O105">
        <f t="shared" si="3"/>
        <v>-3.7801538144144331E-6</v>
      </c>
    </row>
    <row r="106" spans="7:15" x14ac:dyDescent="0.25">
      <c r="G106" s="23">
        <v>41064</v>
      </c>
      <c r="H106" s="22">
        <v>656.95860000000005</v>
      </c>
      <c r="I106">
        <f t="shared" si="2"/>
        <v>8.7265751331000452E-4</v>
      </c>
      <c r="J106" s="23">
        <v>41064</v>
      </c>
      <c r="K106" s="22">
        <v>882.66750000000002</v>
      </c>
      <c r="L106">
        <f t="shared" si="2"/>
        <v>3.4294201865914253E-4</v>
      </c>
      <c r="M106" s="23">
        <v>41057</v>
      </c>
      <c r="N106" s="22">
        <v>1058.154</v>
      </c>
      <c r="O106">
        <f t="shared" si="3"/>
        <v>0</v>
      </c>
    </row>
    <row r="107" spans="7:15" x14ac:dyDescent="0.25">
      <c r="G107" s="23">
        <v>41065</v>
      </c>
      <c r="H107" s="22">
        <v>657.83889999999997</v>
      </c>
      <c r="I107">
        <f t="shared" si="2"/>
        <v>1.3399626704024836E-3</v>
      </c>
      <c r="J107" s="23">
        <v>41065</v>
      </c>
      <c r="K107" s="22">
        <v>882.66949999999997</v>
      </c>
      <c r="L107">
        <f t="shared" si="2"/>
        <v>2.2658588878510244E-6</v>
      </c>
      <c r="M107" s="23">
        <v>41058</v>
      </c>
      <c r="N107" s="22">
        <v>1058.154</v>
      </c>
      <c r="O107">
        <f t="shared" si="3"/>
        <v>0</v>
      </c>
    </row>
    <row r="108" spans="7:15" x14ac:dyDescent="0.25">
      <c r="G108" s="23">
        <v>41066</v>
      </c>
      <c r="H108" s="22">
        <v>657.85019999999997</v>
      </c>
      <c r="I108">
        <f t="shared" si="2"/>
        <v>1.717745788520908E-5</v>
      </c>
      <c r="J108" s="23">
        <v>41066</v>
      </c>
      <c r="K108" s="22">
        <v>882.66669999999999</v>
      </c>
      <c r="L108">
        <f t="shared" si="2"/>
        <v>-3.1721952553631638E-6</v>
      </c>
      <c r="M108" s="23">
        <v>41059</v>
      </c>
      <c r="N108" s="22">
        <v>1058.1389999999999</v>
      </c>
      <c r="O108">
        <f t="shared" si="3"/>
        <v>-1.4175630390411698E-5</v>
      </c>
    </row>
    <row r="109" spans="7:15" x14ac:dyDescent="0.25">
      <c r="G109" s="23">
        <v>41067</v>
      </c>
      <c r="H109" s="22">
        <v>657.84860000000003</v>
      </c>
      <c r="I109">
        <f t="shared" si="2"/>
        <v>-2.4321646476810344E-6</v>
      </c>
      <c r="J109" s="23">
        <v>41067</v>
      </c>
      <c r="K109" s="22">
        <v>882.67070000000001</v>
      </c>
      <c r="L109">
        <f t="shared" si="2"/>
        <v>4.5317218833051953E-6</v>
      </c>
      <c r="M109" s="23">
        <v>41060</v>
      </c>
      <c r="N109" s="22">
        <v>1058.133</v>
      </c>
      <c r="O109">
        <f t="shared" si="3"/>
        <v>-5.670332536511502E-6</v>
      </c>
    </row>
    <row r="110" spans="7:15" x14ac:dyDescent="0.25">
      <c r="G110" s="23">
        <v>41068</v>
      </c>
      <c r="H110" s="22">
        <v>657.85</v>
      </c>
      <c r="I110">
        <f t="shared" si="2"/>
        <v>2.128149242830446E-6</v>
      </c>
      <c r="J110" s="23">
        <v>41068</v>
      </c>
      <c r="K110" s="22">
        <v>882.92819999999995</v>
      </c>
      <c r="L110">
        <f t="shared" si="2"/>
        <v>2.9172827420231862E-4</v>
      </c>
      <c r="M110" s="23">
        <v>41061</v>
      </c>
      <c r="N110" s="22">
        <v>1058.1110000000001</v>
      </c>
      <c r="O110">
        <f t="shared" si="3"/>
        <v>-2.0791337194792092E-5</v>
      </c>
    </row>
    <row r="111" spans="7:15" x14ac:dyDescent="0.25">
      <c r="G111" s="23">
        <v>41071</v>
      </c>
      <c r="H111" s="22">
        <v>658.11379999999997</v>
      </c>
      <c r="I111">
        <f t="shared" si="2"/>
        <v>4.0100326822223309E-4</v>
      </c>
      <c r="J111" s="23">
        <v>41071</v>
      </c>
      <c r="K111" s="22">
        <v>882.44219999999996</v>
      </c>
      <c r="L111">
        <f t="shared" si="2"/>
        <v>-5.5044113439806086E-4</v>
      </c>
      <c r="M111" s="23">
        <v>41064</v>
      </c>
      <c r="N111" s="22">
        <v>1058.135</v>
      </c>
      <c r="O111">
        <f t="shared" si="3"/>
        <v>2.2681930345491708E-5</v>
      </c>
    </row>
    <row r="112" spans="7:15" x14ac:dyDescent="0.25">
      <c r="G112" s="23">
        <v>41072</v>
      </c>
      <c r="H112" s="22">
        <v>658.14449999999999</v>
      </c>
      <c r="I112">
        <f t="shared" si="2"/>
        <v>4.6648467179943864E-5</v>
      </c>
      <c r="J112" s="23">
        <v>41072</v>
      </c>
      <c r="K112" s="22">
        <v>882.49469999999997</v>
      </c>
      <c r="L112">
        <f t="shared" si="2"/>
        <v>5.9493981588776279E-5</v>
      </c>
      <c r="M112" s="23">
        <v>41065</v>
      </c>
      <c r="N112" s="22">
        <v>1058.1389999999999</v>
      </c>
      <c r="O112">
        <f t="shared" si="3"/>
        <v>3.7802359811323072E-6</v>
      </c>
    </row>
    <row r="113" spans="7:15" x14ac:dyDescent="0.25">
      <c r="G113" s="23">
        <v>41073</v>
      </c>
      <c r="H113" s="22">
        <v>658.14750000000004</v>
      </c>
      <c r="I113">
        <f t="shared" si="2"/>
        <v>4.5582694985224492E-6</v>
      </c>
      <c r="J113" s="23">
        <v>41073</v>
      </c>
      <c r="K113" s="22">
        <v>882.13070000000005</v>
      </c>
      <c r="L113">
        <f t="shared" si="2"/>
        <v>-4.124670663743224E-4</v>
      </c>
      <c r="M113" s="23">
        <v>41066</v>
      </c>
      <c r="N113" s="22">
        <v>1058.165</v>
      </c>
      <c r="O113">
        <f t="shared" si="3"/>
        <v>2.4571440992326998E-5</v>
      </c>
    </row>
    <row r="114" spans="7:15" x14ac:dyDescent="0.25">
      <c r="G114" s="23">
        <v>41074</v>
      </c>
      <c r="H114" s="22">
        <v>653.41679999999997</v>
      </c>
      <c r="I114">
        <f t="shared" si="2"/>
        <v>-7.1879024078950193E-3</v>
      </c>
      <c r="J114" s="23">
        <v>41074</v>
      </c>
      <c r="K114" s="22">
        <v>879.67070000000001</v>
      </c>
      <c r="L114">
        <f t="shared" si="2"/>
        <v>-2.7887023997691385E-3</v>
      </c>
      <c r="M114" s="23">
        <v>41067</v>
      </c>
      <c r="N114" s="22">
        <v>1058.133</v>
      </c>
      <c r="O114">
        <f t="shared" si="3"/>
        <v>-3.0241030463007412E-5</v>
      </c>
    </row>
    <row r="115" spans="7:15" x14ac:dyDescent="0.25">
      <c r="G115" s="23">
        <v>41075</v>
      </c>
      <c r="H115" s="22">
        <v>653.39350000000002</v>
      </c>
      <c r="I115">
        <f t="shared" si="2"/>
        <v>-3.5658709723995763E-5</v>
      </c>
      <c r="J115" s="23">
        <v>41075</v>
      </c>
      <c r="K115" s="22">
        <v>879.63130000000001</v>
      </c>
      <c r="L115">
        <f t="shared" si="2"/>
        <v>-4.4789487702590058E-5</v>
      </c>
      <c r="M115" s="23">
        <v>41068</v>
      </c>
      <c r="N115" s="22">
        <v>1058.2650000000001</v>
      </c>
      <c r="O115">
        <f t="shared" si="3"/>
        <v>1.2474802316919664E-4</v>
      </c>
    </row>
    <row r="116" spans="7:15" x14ac:dyDescent="0.25">
      <c r="G116" s="23">
        <v>41078</v>
      </c>
      <c r="H116" s="22">
        <v>653.39649999999995</v>
      </c>
      <c r="I116">
        <f t="shared" si="2"/>
        <v>4.5914139028546685E-6</v>
      </c>
      <c r="J116" s="23">
        <v>41078</v>
      </c>
      <c r="K116" s="22">
        <v>879.63570000000004</v>
      </c>
      <c r="L116">
        <f t="shared" si="2"/>
        <v>5.0020957644836272E-6</v>
      </c>
      <c r="M116" s="23">
        <v>41071</v>
      </c>
      <c r="N116" s="22">
        <v>1058.2729999999999</v>
      </c>
      <c r="O116">
        <f t="shared" si="3"/>
        <v>7.5595432145192376E-6</v>
      </c>
    </row>
    <row r="117" spans="7:15" x14ac:dyDescent="0.25">
      <c r="G117" s="23">
        <v>41079</v>
      </c>
      <c r="H117" s="22">
        <v>651.44510000000002</v>
      </c>
      <c r="I117">
        <f t="shared" si="2"/>
        <v>-2.9865479842636766E-3</v>
      </c>
      <c r="J117" s="23">
        <v>41079</v>
      </c>
      <c r="K117" s="22">
        <v>879.67319999999995</v>
      </c>
      <c r="L117">
        <f t="shared" si="2"/>
        <v>4.2631284746574849E-5</v>
      </c>
      <c r="M117" s="23">
        <v>41072</v>
      </c>
      <c r="N117" s="22">
        <v>1058.278</v>
      </c>
      <c r="O117">
        <f t="shared" si="3"/>
        <v>4.7246787928667544E-6</v>
      </c>
    </row>
    <row r="118" spans="7:15" x14ac:dyDescent="0.25">
      <c r="G118" s="23">
        <v>41080</v>
      </c>
      <c r="H118" s="22">
        <v>651.44989999999996</v>
      </c>
      <c r="I118">
        <f t="shared" si="2"/>
        <v>7.368234099747184E-6</v>
      </c>
      <c r="J118" s="23">
        <v>41080</v>
      </c>
      <c r="K118" s="22">
        <v>876.72720000000004</v>
      </c>
      <c r="L118">
        <f t="shared" si="2"/>
        <v>-3.3489709587605221E-3</v>
      </c>
      <c r="M118" s="23">
        <v>41073</v>
      </c>
      <c r="N118" s="22">
        <v>1053.7919999999999</v>
      </c>
      <c r="O118">
        <f t="shared" si="3"/>
        <v>-4.2389617850887573E-3</v>
      </c>
    </row>
    <row r="119" spans="7:15" x14ac:dyDescent="0.25">
      <c r="G119" s="23">
        <v>41081</v>
      </c>
      <c r="H119" s="22">
        <v>651.44200000000001</v>
      </c>
      <c r="I119">
        <f t="shared" si="2"/>
        <v>-1.2126795936207024E-5</v>
      </c>
      <c r="J119" s="23">
        <v>41081</v>
      </c>
      <c r="K119" s="22">
        <v>876.71929999999998</v>
      </c>
      <c r="L119">
        <f t="shared" si="2"/>
        <v>-9.0107846546505499E-6</v>
      </c>
      <c r="M119" s="23">
        <v>41074</v>
      </c>
      <c r="N119" s="22">
        <v>1053.8</v>
      </c>
      <c r="O119">
        <f t="shared" si="3"/>
        <v>7.5916309860701858E-6</v>
      </c>
    </row>
    <row r="120" spans="7:15" x14ac:dyDescent="0.25">
      <c r="G120" s="23">
        <v>41082</v>
      </c>
      <c r="H120" s="22">
        <v>651.42899999999997</v>
      </c>
      <c r="I120">
        <f t="shared" si="2"/>
        <v>-1.9955728982834486E-5</v>
      </c>
      <c r="J120" s="23">
        <v>41082</v>
      </c>
      <c r="K120" s="22">
        <v>876.70619999999997</v>
      </c>
      <c r="L120">
        <f t="shared" si="2"/>
        <v>-1.4942068687240351E-5</v>
      </c>
      <c r="M120" s="23">
        <v>41075</v>
      </c>
      <c r="N120" s="22">
        <v>1053.7860000000001</v>
      </c>
      <c r="O120">
        <f t="shared" si="3"/>
        <v>-1.3285253368633398E-5</v>
      </c>
    </row>
    <row r="121" spans="7:15" x14ac:dyDescent="0.25">
      <c r="G121" s="23">
        <v>41085</v>
      </c>
      <c r="H121" s="22">
        <v>651.41769999999997</v>
      </c>
      <c r="I121">
        <f t="shared" si="2"/>
        <v>-1.7346479815882887E-5</v>
      </c>
      <c r="J121" s="23">
        <v>41085</v>
      </c>
      <c r="K121" s="22">
        <v>876.69860000000006</v>
      </c>
      <c r="L121">
        <f t="shared" si="2"/>
        <v>-8.668810600354071E-6</v>
      </c>
      <c r="M121" s="23">
        <v>41078</v>
      </c>
      <c r="N121" s="22">
        <v>1053.79</v>
      </c>
      <c r="O121">
        <f t="shared" si="3"/>
        <v>3.7958371053026241E-6</v>
      </c>
    </row>
    <row r="122" spans="7:15" x14ac:dyDescent="0.25">
      <c r="G122" s="23">
        <v>41086</v>
      </c>
      <c r="H122" s="22">
        <v>651.41890000000001</v>
      </c>
      <c r="I122">
        <f t="shared" si="2"/>
        <v>1.8421360059583947E-6</v>
      </c>
      <c r="J122" s="23">
        <v>41086</v>
      </c>
      <c r="K122" s="22">
        <v>876.7</v>
      </c>
      <c r="L122">
        <f t="shared" si="2"/>
        <v>1.5969000064508521E-6</v>
      </c>
      <c r="M122" s="23">
        <v>41079</v>
      </c>
      <c r="N122" s="22">
        <v>1053.8050000000001</v>
      </c>
      <c r="O122">
        <f t="shared" si="3"/>
        <v>1.4234335114382546E-5</v>
      </c>
    </row>
    <row r="123" spans="7:15" x14ac:dyDescent="0.25">
      <c r="G123" s="23">
        <v>41087</v>
      </c>
      <c r="H123" s="22">
        <v>651.44039999999995</v>
      </c>
      <c r="I123">
        <f t="shared" si="2"/>
        <v>3.3004875971354153E-5</v>
      </c>
      <c r="J123" s="23">
        <v>41087</v>
      </c>
      <c r="K123" s="22">
        <v>876.72019999999998</v>
      </c>
      <c r="L123">
        <f t="shared" si="2"/>
        <v>2.3040949013175549E-5</v>
      </c>
      <c r="M123" s="23">
        <v>41080</v>
      </c>
      <c r="N123" s="22">
        <v>1053.807</v>
      </c>
      <c r="O123">
        <f t="shared" si="3"/>
        <v>1.8978843334682693E-6</v>
      </c>
    </row>
    <row r="124" spans="7:15" x14ac:dyDescent="0.25">
      <c r="G124" s="23">
        <v>41088</v>
      </c>
      <c r="H124" s="22">
        <v>651.43539999999996</v>
      </c>
      <c r="I124">
        <f t="shared" si="2"/>
        <v>-7.6752992291817534E-6</v>
      </c>
      <c r="J124" s="23">
        <v>41088</v>
      </c>
      <c r="K124" s="22">
        <v>876.73590000000002</v>
      </c>
      <c r="L124">
        <f t="shared" si="2"/>
        <v>1.7907651722826046E-5</v>
      </c>
      <c r="M124" s="23">
        <v>41081</v>
      </c>
      <c r="N124" s="22">
        <v>1053.7760000000001</v>
      </c>
      <c r="O124">
        <f t="shared" si="3"/>
        <v>-2.9417151337862713E-5</v>
      </c>
    </row>
    <row r="125" spans="7:15" x14ac:dyDescent="0.25">
      <c r="G125" s="23">
        <v>41089</v>
      </c>
      <c r="H125" s="22">
        <v>647.38369999999998</v>
      </c>
      <c r="I125">
        <f t="shared" si="2"/>
        <v>-6.2196497150753816E-3</v>
      </c>
      <c r="J125" s="23">
        <v>41089</v>
      </c>
      <c r="K125" s="22">
        <v>880.27229999999997</v>
      </c>
      <c r="L125">
        <f t="shared" si="2"/>
        <v>4.0335978029415465E-3</v>
      </c>
      <c r="M125" s="23">
        <v>41082</v>
      </c>
      <c r="N125" s="22">
        <v>1053.8</v>
      </c>
      <c r="O125">
        <f t="shared" si="3"/>
        <v>2.2775238760264216E-5</v>
      </c>
    </row>
    <row r="126" spans="7:15" x14ac:dyDescent="0.25">
      <c r="G126" s="23">
        <v>41092</v>
      </c>
      <c r="H126" s="22">
        <v>650.3741</v>
      </c>
      <c r="I126">
        <f t="shared" si="2"/>
        <v>4.6192080523497214E-3</v>
      </c>
      <c r="J126" s="23">
        <v>41092</v>
      </c>
      <c r="K126" s="22">
        <v>880.27269999999999</v>
      </c>
      <c r="L126">
        <f t="shared" si="2"/>
        <v>4.5440484730541186E-7</v>
      </c>
      <c r="M126" s="23">
        <v>41085</v>
      </c>
      <c r="N126" s="22">
        <v>1053.7909999999999</v>
      </c>
      <c r="O126">
        <f t="shared" si="3"/>
        <v>-8.5405200227484102E-6</v>
      </c>
    </row>
    <row r="127" spans="7:15" x14ac:dyDescent="0.25">
      <c r="G127" s="23">
        <v>41093</v>
      </c>
      <c r="H127" s="22">
        <v>650.9271</v>
      </c>
      <c r="I127">
        <f t="shared" si="2"/>
        <v>8.5027986200558736E-4</v>
      </c>
      <c r="J127" s="23">
        <v>41093</v>
      </c>
      <c r="K127" s="22">
        <v>880.27359999999999</v>
      </c>
      <c r="L127">
        <f t="shared" si="2"/>
        <v>1.0224104416423074E-6</v>
      </c>
      <c r="M127" s="23">
        <v>41086</v>
      </c>
      <c r="N127" s="22">
        <v>1053.7950000000001</v>
      </c>
      <c r="O127">
        <f t="shared" si="3"/>
        <v>3.7958190952647186E-6</v>
      </c>
    </row>
    <row r="128" spans="7:15" x14ac:dyDescent="0.25">
      <c r="G128" s="23">
        <v>41095</v>
      </c>
      <c r="H128" s="22">
        <v>650.92349999999999</v>
      </c>
      <c r="I128">
        <f t="shared" si="2"/>
        <v>-5.5305732392652018E-6</v>
      </c>
      <c r="J128" s="23">
        <v>41095</v>
      </c>
      <c r="K128" s="22">
        <v>880.274</v>
      </c>
      <c r="L128">
        <f t="shared" si="2"/>
        <v>4.5440417606457117E-7</v>
      </c>
      <c r="M128" s="23">
        <v>41087</v>
      </c>
      <c r="N128" s="22">
        <v>1053.796</v>
      </c>
      <c r="O128">
        <f t="shared" si="3"/>
        <v>9.4895117164206511E-7</v>
      </c>
    </row>
    <row r="129" spans="7:15" x14ac:dyDescent="0.25">
      <c r="G129" s="23">
        <v>41096</v>
      </c>
      <c r="H129" s="22">
        <v>650.94349999999997</v>
      </c>
      <c r="I129">
        <f t="shared" si="2"/>
        <v>3.0725576815049394E-5</v>
      </c>
      <c r="J129" s="23">
        <v>41096</v>
      </c>
      <c r="K129" s="22">
        <v>880.40049999999997</v>
      </c>
      <c r="L129">
        <f t="shared" si="2"/>
        <v>1.4370525540896573E-4</v>
      </c>
      <c r="M129" s="23">
        <v>41088</v>
      </c>
      <c r="N129" s="22">
        <v>1053.787</v>
      </c>
      <c r="O129">
        <f t="shared" si="3"/>
        <v>-8.5405524409276623E-6</v>
      </c>
    </row>
    <row r="130" spans="7:15" x14ac:dyDescent="0.25">
      <c r="G130" s="23">
        <v>41099</v>
      </c>
      <c r="H130" s="22">
        <v>650.93219999999997</v>
      </c>
      <c r="I130">
        <f t="shared" si="2"/>
        <v>-1.7359417522455622E-5</v>
      </c>
      <c r="J130" s="23">
        <v>41099</v>
      </c>
      <c r="K130" s="22">
        <v>880.40239999999994</v>
      </c>
      <c r="L130">
        <f t="shared" si="2"/>
        <v>2.1581087243927044E-6</v>
      </c>
      <c r="M130" s="23">
        <v>41089</v>
      </c>
      <c r="N130" s="22">
        <v>1064.268</v>
      </c>
      <c r="O130">
        <f t="shared" si="3"/>
        <v>9.9460327371660995E-3</v>
      </c>
    </row>
    <row r="131" spans="7:15" x14ac:dyDescent="0.25">
      <c r="G131" s="23">
        <v>41100</v>
      </c>
      <c r="H131" s="22">
        <v>650.92920000000004</v>
      </c>
      <c r="I131">
        <f t="shared" si="2"/>
        <v>-4.6087749230316888E-6</v>
      </c>
      <c r="J131" s="23">
        <v>41100</v>
      </c>
      <c r="K131" s="22">
        <v>880.40139999999997</v>
      </c>
      <c r="L131">
        <f t="shared" si="2"/>
        <v>-1.1358442457698459E-6</v>
      </c>
      <c r="M131" s="23">
        <v>41092</v>
      </c>
      <c r="N131" s="22">
        <v>1064.258</v>
      </c>
      <c r="O131">
        <f t="shared" si="3"/>
        <v>-9.3961295463129701E-6</v>
      </c>
    </row>
    <row r="132" spans="7:15" x14ac:dyDescent="0.25">
      <c r="G132" s="23">
        <v>41101</v>
      </c>
      <c r="H132" s="22">
        <v>650.9348</v>
      </c>
      <c r="I132">
        <f t="shared" ref="I132:L195" si="4">H132/H131-1</f>
        <v>8.6030861727870445E-6</v>
      </c>
      <c r="J132" s="23">
        <v>41101</v>
      </c>
      <c r="K132" s="22">
        <v>879.43759999999997</v>
      </c>
      <c r="L132">
        <f t="shared" si="4"/>
        <v>-1.0947279275111965E-3</v>
      </c>
      <c r="M132" s="23">
        <v>41093</v>
      </c>
      <c r="N132" s="22">
        <v>1064.27</v>
      </c>
      <c r="O132">
        <f t="shared" ref="O132:O195" si="5">N132/N131-1</f>
        <v>1.1275461401227815E-5</v>
      </c>
    </row>
    <row r="133" spans="7:15" x14ac:dyDescent="0.25">
      <c r="G133" s="23">
        <v>41102</v>
      </c>
      <c r="H133" s="22">
        <v>649.06899999999996</v>
      </c>
      <c r="I133">
        <f t="shared" si="4"/>
        <v>-2.8663393015706529E-3</v>
      </c>
      <c r="J133" s="23">
        <v>41102</v>
      </c>
      <c r="K133" s="22">
        <v>879.44529999999997</v>
      </c>
      <c r="L133">
        <f t="shared" si="4"/>
        <v>8.7555956216345265E-6</v>
      </c>
      <c r="M133" s="23">
        <v>41094</v>
      </c>
      <c r="N133" s="22">
        <v>1064.27</v>
      </c>
      <c r="O133">
        <f t="shared" si="5"/>
        <v>0</v>
      </c>
    </row>
    <row r="134" spans="7:15" x14ac:dyDescent="0.25">
      <c r="G134" s="23">
        <v>41103</v>
      </c>
      <c r="H134" s="22">
        <v>648.76310000000001</v>
      </c>
      <c r="I134">
        <f t="shared" si="4"/>
        <v>-4.7129041750559875E-4</v>
      </c>
      <c r="J134" s="23">
        <v>41103</v>
      </c>
      <c r="K134" s="22">
        <v>879.5172</v>
      </c>
      <c r="L134">
        <f t="shared" si="4"/>
        <v>8.1756079656214453E-5</v>
      </c>
      <c r="M134" s="23">
        <v>41095</v>
      </c>
      <c r="N134" s="22">
        <v>1064.2650000000001</v>
      </c>
      <c r="O134">
        <f t="shared" si="5"/>
        <v>-4.6980559443854375E-6</v>
      </c>
    </row>
    <row r="135" spans="7:15" x14ac:dyDescent="0.25">
      <c r="G135" s="23">
        <v>41106</v>
      </c>
      <c r="H135" s="22">
        <v>648.75340000000006</v>
      </c>
      <c r="I135">
        <f t="shared" si="4"/>
        <v>-1.4951528531703673E-5</v>
      </c>
      <c r="J135" s="23">
        <v>41106</v>
      </c>
      <c r="K135" s="22">
        <v>879.6395</v>
      </c>
      <c r="L135">
        <f t="shared" si="4"/>
        <v>1.3905356256826984E-4</v>
      </c>
      <c r="M135" s="23">
        <v>41096</v>
      </c>
      <c r="N135" s="22">
        <v>1064.268</v>
      </c>
      <c r="O135">
        <f t="shared" si="5"/>
        <v>2.8188468097489761E-6</v>
      </c>
    </row>
    <row r="136" spans="7:15" x14ac:dyDescent="0.25">
      <c r="G136" s="23">
        <v>41107</v>
      </c>
      <c r="H136" s="22">
        <v>648.82380000000001</v>
      </c>
      <c r="I136">
        <f t="shared" si="4"/>
        <v>1.0851580893445067E-4</v>
      </c>
      <c r="J136" s="23">
        <v>41107</v>
      </c>
      <c r="K136" s="22">
        <v>879.76440000000002</v>
      </c>
      <c r="L136">
        <f t="shared" si="4"/>
        <v>1.4198998567027665E-4</v>
      </c>
      <c r="M136" s="23">
        <v>41099</v>
      </c>
      <c r="N136" s="22">
        <v>1064.25</v>
      </c>
      <c r="O136">
        <f t="shared" si="5"/>
        <v>-1.6913033183407755E-5</v>
      </c>
    </row>
    <row r="137" spans="7:15" x14ac:dyDescent="0.25">
      <c r="G137" s="23">
        <v>41108</v>
      </c>
      <c r="H137" s="22">
        <v>648.81669999999997</v>
      </c>
      <c r="I137">
        <f t="shared" si="4"/>
        <v>-1.0942878482578244E-5</v>
      </c>
      <c r="J137" s="23">
        <v>41108</v>
      </c>
      <c r="K137" s="22">
        <v>879.72199999999998</v>
      </c>
      <c r="L137">
        <f t="shared" si="4"/>
        <v>-4.8194721223193682E-5</v>
      </c>
      <c r="M137" s="23">
        <v>41100</v>
      </c>
      <c r="N137" s="22">
        <v>1064.2460000000001</v>
      </c>
      <c r="O137">
        <f t="shared" si="5"/>
        <v>-3.7585153863650689E-6</v>
      </c>
    </row>
    <row r="138" spans="7:15" x14ac:dyDescent="0.25">
      <c r="G138" s="23">
        <v>41109</v>
      </c>
      <c r="H138" s="22">
        <v>648.54549999999995</v>
      </c>
      <c r="I138">
        <f t="shared" si="4"/>
        <v>-4.1799170705691946E-4</v>
      </c>
      <c r="J138" s="23">
        <v>41109</v>
      </c>
      <c r="K138" s="22">
        <v>878.60029999999995</v>
      </c>
      <c r="L138">
        <f t="shared" si="4"/>
        <v>-1.2750618945530645E-3</v>
      </c>
      <c r="M138" s="23">
        <v>41101</v>
      </c>
      <c r="N138" s="22">
        <v>1064.249</v>
      </c>
      <c r="O138">
        <f t="shared" si="5"/>
        <v>2.8188971346043701E-6</v>
      </c>
    </row>
    <row r="139" spans="7:15" x14ac:dyDescent="0.25">
      <c r="G139" s="23">
        <v>41110</v>
      </c>
      <c r="H139" s="22">
        <v>648.46199999999999</v>
      </c>
      <c r="I139">
        <f t="shared" si="4"/>
        <v>-1.2874964054176985E-4</v>
      </c>
      <c r="J139" s="23">
        <v>41110</v>
      </c>
      <c r="K139" s="22">
        <v>878.48109999999997</v>
      </c>
      <c r="L139">
        <f t="shared" si="4"/>
        <v>-1.3567033837791342E-4</v>
      </c>
      <c r="M139" s="23">
        <v>41102</v>
      </c>
      <c r="N139" s="22">
        <v>1064.413</v>
      </c>
      <c r="O139">
        <f t="shared" si="5"/>
        <v>1.5409927563947434E-4</v>
      </c>
    </row>
    <row r="140" spans="7:15" x14ac:dyDescent="0.25">
      <c r="G140" s="23">
        <v>41113</v>
      </c>
      <c r="H140" s="22">
        <v>648.44039999999995</v>
      </c>
      <c r="I140">
        <f t="shared" si="4"/>
        <v>-3.3309584833052241E-5</v>
      </c>
      <c r="J140" s="23">
        <v>41113</v>
      </c>
      <c r="K140" s="22">
        <v>878.44979999999998</v>
      </c>
      <c r="L140">
        <f t="shared" si="4"/>
        <v>-3.5629679454696195E-5</v>
      </c>
      <c r="M140" s="23">
        <v>41103</v>
      </c>
      <c r="N140" s="22">
        <v>1064.412</v>
      </c>
      <c r="O140">
        <f t="shared" si="5"/>
        <v>-9.3948495549778244E-7</v>
      </c>
    </row>
    <row r="141" spans="7:15" x14ac:dyDescent="0.25">
      <c r="G141" s="23">
        <v>41114</v>
      </c>
      <c r="H141" s="22">
        <v>648.44719999999995</v>
      </c>
      <c r="I141">
        <f t="shared" si="4"/>
        <v>1.0486700088296885E-5</v>
      </c>
      <c r="J141" s="23">
        <v>41114</v>
      </c>
      <c r="K141" s="22">
        <v>878.46900000000005</v>
      </c>
      <c r="L141">
        <f t="shared" si="4"/>
        <v>2.1856684354615297E-5</v>
      </c>
      <c r="M141" s="23">
        <v>41106</v>
      </c>
      <c r="N141" s="22">
        <v>1064.4190000000001</v>
      </c>
      <c r="O141">
        <f t="shared" si="5"/>
        <v>6.5764008674307206E-6</v>
      </c>
    </row>
    <row r="142" spans="7:15" x14ac:dyDescent="0.25">
      <c r="G142" s="23">
        <v>41115</v>
      </c>
      <c r="H142" s="22">
        <v>646.06550000000004</v>
      </c>
      <c r="I142">
        <f t="shared" si="4"/>
        <v>-3.672928189064395E-3</v>
      </c>
      <c r="J142" s="23">
        <v>41115</v>
      </c>
      <c r="K142" s="22">
        <v>876.28830000000005</v>
      </c>
      <c r="L142">
        <f t="shared" si="4"/>
        <v>-2.4823869709688084E-3</v>
      </c>
      <c r="M142" s="23">
        <v>41107</v>
      </c>
      <c r="N142" s="22">
        <v>1064.653</v>
      </c>
      <c r="O142">
        <f t="shared" si="5"/>
        <v>2.1983824039217836E-4</v>
      </c>
    </row>
    <row r="143" spans="7:15" x14ac:dyDescent="0.25">
      <c r="G143" s="23">
        <v>41116</v>
      </c>
      <c r="H143" s="22">
        <v>651.42600000000004</v>
      </c>
      <c r="I143">
        <f t="shared" si="4"/>
        <v>8.297146341972983E-3</v>
      </c>
      <c r="J143" s="23">
        <v>41116</v>
      </c>
      <c r="K143" s="22">
        <v>876.8895</v>
      </c>
      <c r="L143">
        <f t="shared" si="4"/>
        <v>6.8607557581223944E-4</v>
      </c>
      <c r="M143" s="23">
        <v>41108</v>
      </c>
      <c r="N143" s="22">
        <v>1065.1300000000001</v>
      </c>
      <c r="O143">
        <f t="shared" si="5"/>
        <v>4.480333028695771E-4</v>
      </c>
    </row>
    <row r="144" spans="7:15" x14ac:dyDescent="0.25">
      <c r="G144" s="23">
        <v>41117</v>
      </c>
      <c r="H144" s="22">
        <v>633.78319999999997</v>
      </c>
      <c r="I144">
        <f t="shared" si="4"/>
        <v>-2.7083352522005666E-2</v>
      </c>
      <c r="J144" s="23">
        <v>41117</v>
      </c>
      <c r="K144" s="22">
        <v>855.54819999999995</v>
      </c>
      <c r="L144">
        <f t="shared" si="4"/>
        <v>-2.4337502045582715E-2</v>
      </c>
      <c r="M144" s="23">
        <v>41109</v>
      </c>
      <c r="N144" s="22">
        <v>1060.163</v>
      </c>
      <c r="O144">
        <f t="shared" si="5"/>
        <v>-4.6632805385259379E-3</v>
      </c>
    </row>
    <row r="145" spans="7:15" x14ac:dyDescent="0.25">
      <c r="G145" s="23">
        <v>41120</v>
      </c>
      <c r="H145" s="22">
        <v>632.32309999999995</v>
      </c>
      <c r="I145">
        <f t="shared" si="4"/>
        <v>-2.3037846380276061E-3</v>
      </c>
      <c r="J145" s="23">
        <v>41120</v>
      </c>
      <c r="K145" s="22">
        <v>855.95630000000006</v>
      </c>
      <c r="L145">
        <f t="shared" si="4"/>
        <v>4.7700410099649204E-4</v>
      </c>
      <c r="M145" s="23">
        <v>41110</v>
      </c>
      <c r="N145" s="22">
        <v>1059.9739999999999</v>
      </c>
      <c r="O145">
        <f t="shared" si="5"/>
        <v>-1.7827447288776277E-4</v>
      </c>
    </row>
    <row r="146" spans="7:15" x14ac:dyDescent="0.25">
      <c r="G146" s="23">
        <v>41121</v>
      </c>
      <c r="H146" s="22">
        <v>637.43700000000001</v>
      </c>
      <c r="I146">
        <f t="shared" si="4"/>
        <v>8.0874793282106339E-3</v>
      </c>
      <c r="J146" s="23">
        <v>41121</v>
      </c>
      <c r="K146" s="22">
        <v>846.61189999999999</v>
      </c>
      <c r="L146">
        <f t="shared" si="4"/>
        <v>-1.0916912463872386E-2</v>
      </c>
      <c r="M146" s="23">
        <v>41113</v>
      </c>
      <c r="N146" s="22">
        <v>1059.4770000000001</v>
      </c>
      <c r="O146">
        <f t="shared" si="5"/>
        <v>-4.6887942534423743E-4</v>
      </c>
    </row>
    <row r="147" spans="7:15" x14ac:dyDescent="0.25">
      <c r="G147" s="23">
        <v>41122</v>
      </c>
      <c r="H147" s="22">
        <v>635.17020000000002</v>
      </c>
      <c r="I147">
        <f t="shared" si="4"/>
        <v>-3.5561161338296676E-3</v>
      </c>
      <c r="J147" s="23">
        <v>41122</v>
      </c>
      <c r="K147" s="22">
        <v>846.61109999999996</v>
      </c>
      <c r="L147">
        <f t="shared" si="4"/>
        <v>-9.4494301350334098E-7</v>
      </c>
      <c r="M147" s="23">
        <v>41114</v>
      </c>
      <c r="N147" s="22">
        <v>1059.473</v>
      </c>
      <c r="O147">
        <f t="shared" si="5"/>
        <v>-3.7754476974738438E-6</v>
      </c>
    </row>
    <row r="148" spans="7:15" x14ac:dyDescent="0.25">
      <c r="G148" s="23">
        <v>41123</v>
      </c>
      <c r="H148" s="22">
        <v>634.37419999999997</v>
      </c>
      <c r="I148">
        <f t="shared" si="4"/>
        <v>-1.2532074080302547E-3</v>
      </c>
      <c r="J148" s="23">
        <v>41123</v>
      </c>
      <c r="K148" s="22">
        <v>847.20529999999997</v>
      </c>
      <c r="L148">
        <f t="shared" si="4"/>
        <v>7.0185708644743272E-4</v>
      </c>
      <c r="M148" s="23">
        <v>41115</v>
      </c>
      <c r="N148" s="22">
        <v>1059.479</v>
      </c>
      <c r="O148">
        <f t="shared" si="5"/>
        <v>5.6631929270523074E-6</v>
      </c>
    </row>
    <row r="149" spans="7:15" x14ac:dyDescent="0.25">
      <c r="G149" s="23">
        <v>41124</v>
      </c>
      <c r="H149" s="22">
        <v>634.37810000000002</v>
      </c>
      <c r="I149">
        <f t="shared" si="4"/>
        <v>6.1477910042739836E-6</v>
      </c>
      <c r="J149" s="23">
        <v>41124</v>
      </c>
      <c r="K149" s="22">
        <v>846.54089999999997</v>
      </c>
      <c r="L149">
        <f t="shared" si="4"/>
        <v>-7.8422550000567526E-4</v>
      </c>
      <c r="M149" s="23">
        <v>41116</v>
      </c>
      <c r="N149" s="22">
        <v>1059.482</v>
      </c>
      <c r="O149">
        <f t="shared" si="5"/>
        <v>2.8315804276868306E-6</v>
      </c>
    </row>
    <row r="150" spans="7:15" x14ac:dyDescent="0.25">
      <c r="G150" s="23">
        <v>41127</v>
      </c>
      <c r="H150" s="22">
        <v>634.36929999999995</v>
      </c>
      <c r="I150">
        <f t="shared" si="4"/>
        <v>-1.3871853394742395E-5</v>
      </c>
      <c r="J150" s="23">
        <v>41127</v>
      </c>
      <c r="K150" s="22">
        <v>846.51089999999999</v>
      </c>
      <c r="L150">
        <f t="shared" si="4"/>
        <v>-3.5438334993531662E-5</v>
      </c>
      <c r="M150" s="23">
        <v>41117</v>
      </c>
      <c r="N150" s="22">
        <v>945.50570000000005</v>
      </c>
      <c r="O150">
        <f t="shared" si="5"/>
        <v>-0.10757738215467549</v>
      </c>
    </row>
    <row r="151" spans="7:15" x14ac:dyDescent="0.25">
      <c r="G151" s="23">
        <v>41128</v>
      </c>
      <c r="H151" s="22">
        <v>638.33000000000004</v>
      </c>
      <c r="I151">
        <f t="shared" si="4"/>
        <v>6.2435240797436009E-3</v>
      </c>
      <c r="J151" s="23">
        <v>41128</v>
      </c>
      <c r="K151" s="22">
        <v>852.01949999999999</v>
      </c>
      <c r="L151">
        <f t="shared" si="4"/>
        <v>6.507417683576211E-3</v>
      </c>
      <c r="M151" s="23">
        <v>41120</v>
      </c>
      <c r="N151" s="22">
        <v>945.51009999999997</v>
      </c>
      <c r="O151">
        <f t="shared" si="5"/>
        <v>4.6535943674097524E-6</v>
      </c>
    </row>
    <row r="152" spans="7:15" x14ac:dyDescent="0.25">
      <c r="G152" s="23">
        <v>41129</v>
      </c>
      <c r="H152" s="22">
        <v>638.33150000000001</v>
      </c>
      <c r="I152">
        <f t="shared" si="4"/>
        <v>2.3498817225409141E-6</v>
      </c>
      <c r="J152" s="23">
        <v>41129</v>
      </c>
      <c r="K152" s="22">
        <v>852.04100000000005</v>
      </c>
      <c r="L152">
        <f t="shared" si="4"/>
        <v>2.5234164241716428E-5</v>
      </c>
      <c r="M152" s="23">
        <v>41121</v>
      </c>
      <c r="N152" s="22">
        <v>966.93899999999996</v>
      </c>
      <c r="O152">
        <f t="shared" si="5"/>
        <v>2.2663850973141386E-2</v>
      </c>
    </row>
    <row r="153" spans="7:15" x14ac:dyDescent="0.25">
      <c r="G153" s="23">
        <v>41130</v>
      </c>
      <c r="H153" s="22">
        <v>622.46079999999995</v>
      </c>
      <c r="I153">
        <f t="shared" si="4"/>
        <v>-2.486278681218157E-2</v>
      </c>
      <c r="J153" s="23">
        <v>41130</v>
      </c>
      <c r="K153" s="22">
        <v>848.89</v>
      </c>
      <c r="L153">
        <f t="shared" si="4"/>
        <v>-3.6981788435064278E-3</v>
      </c>
      <c r="M153" s="23">
        <v>41122</v>
      </c>
      <c r="N153" s="22">
        <v>966.9357</v>
      </c>
      <c r="O153">
        <f t="shared" si="5"/>
        <v>-3.412831626414814E-6</v>
      </c>
    </row>
    <row r="154" spans="7:15" x14ac:dyDescent="0.25">
      <c r="G154" s="23">
        <v>41131</v>
      </c>
      <c r="H154" s="22">
        <v>612.50649999999996</v>
      </c>
      <c r="I154">
        <f t="shared" si="4"/>
        <v>-1.5991850410499775E-2</v>
      </c>
      <c r="J154" s="23">
        <v>41131</v>
      </c>
      <c r="K154" s="22">
        <v>848.88620000000003</v>
      </c>
      <c r="L154">
        <f t="shared" si="4"/>
        <v>-4.4764339313108081E-6</v>
      </c>
      <c r="M154" s="23">
        <v>41123</v>
      </c>
      <c r="N154" s="22">
        <v>969.48820000000001</v>
      </c>
      <c r="O154">
        <f t="shared" si="5"/>
        <v>2.6397825625841254E-3</v>
      </c>
    </row>
    <row r="155" spans="7:15" x14ac:dyDescent="0.25">
      <c r="G155" s="23">
        <v>41134</v>
      </c>
      <c r="H155" s="22">
        <v>612.49490000000003</v>
      </c>
      <c r="I155">
        <f t="shared" si="4"/>
        <v>-1.8938574529281382E-5</v>
      </c>
      <c r="J155" s="23">
        <v>41134</v>
      </c>
      <c r="K155" s="22">
        <v>848.84339999999997</v>
      </c>
      <c r="L155">
        <f t="shared" si="4"/>
        <v>-5.0419007871838062E-5</v>
      </c>
      <c r="M155" s="23">
        <v>41124</v>
      </c>
      <c r="N155" s="22">
        <v>969.52800000000002</v>
      </c>
      <c r="O155">
        <f t="shared" si="5"/>
        <v>4.1052588365619869E-5</v>
      </c>
    </row>
    <row r="156" spans="7:15" x14ac:dyDescent="0.25">
      <c r="G156" s="23">
        <v>41135</v>
      </c>
      <c r="H156" s="22">
        <v>611.27530000000002</v>
      </c>
      <c r="I156">
        <f t="shared" si="4"/>
        <v>-1.9912002532592732E-3</v>
      </c>
      <c r="J156" s="23">
        <v>41135</v>
      </c>
      <c r="K156" s="22">
        <v>848.84649999999999</v>
      </c>
      <c r="L156">
        <f t="shared" si="4"/>
        <v>3.6520281596619242E-6</v>
      </c>
      <c r="M156" s="23">
        <v>41127</v>
      </c>
      <c r="N156" s="22">
        <v>969.54060000000004</v>
      </c>
      <c r="O156">
        <f t="shared" si="5"/>
        <v>1.2996014555621827E-5</v>
      </c>
    </row>
    <row r="157" spans="7:15" x14ac:dyDescent="0.25">
      <c r="G157" s="23">
        <v>41136</v>
      </c>
      <c r="H157" s="22">
        <v>611.26250000000005</v>
      </c>
      <c r="I157">
        <f t="shared" si="4"/>
        <v>-2.0939828584531917E-5</v>
      </c>
      <c r="J157" s="23">
        <v>41136</v>
      </c>
      <c r="K157" s="22">
        <v>848.8587</v>
      </c>
      <c r="L157">
        <f t="shared" si="4"/>
        <v>1.4372445430455016E-5</v>
      </c>
      <c r="M157" s="23">
        <v>41128</v>
      </c>
      <c r="N157" s="22">
        <v>971.31039999999996</v>
      </c>
      <c r="O157">
        <f t="shared" si="5"/>
        <v>1.8254006072566664E-3</v>
      </c>
    </row>
    <row r="158" spans="7:15" x14ac:dyDescent="0.25">
      <c r="G158" s="23">
        <v>41137</v>
      </c>
      <c r="H158" s="22">
        <v>611.27869999999996</v>
      </c>
      <c r="I158">
        <f t="shared" si="4"/>
        <v>2.6502525510618824E-5</v>
      </c>
      <c r="J158" s="23">
        <v>41137</v>
      </c>
      <c r="K158" s="22">
        <v>848.88310000000001</v>
      </c>
      <c r="L158">
        <f t="shared" si="4"/>
        <v>2.8744477732267626E-5</v>
      </c>
      <c r="M158" s="23">
        <v>41129</v>
      </c>
      <c r="N158" s="22">
        <v>971.31569999999999</v>
      </c>
      <c r="O158">
        <f t="shared" si="5"/>
        <v>5.4565461258260228E-6</v>
      </c>
    </row>
    <row r="159" spans="7:15" x14ac:dyDescent="0.25">
      <c r="G159" s="23">
        <v>41138</v>
      </c>
      <c r="H159" s="22">
        <v>611.26819999999998</v>
      </c>
      <c r="I159">
        <f t="shared" si="4"/>
        <v>-1.7177107594301688E-5</v>
      </c>
      <c r="J159" s="23">
        <v>41138</v>
      </c>
      <c r="K159" s="22">
        <v>848.88310000000001</v>
      </c>
      <c r="L159">
        <f t="shared" si="4"/>
        <v>0</v>
      </c>
      <c r="M159" s="23">
        <v>41130</v>
      </c>
      <c r="N159" s="22">
        <v>971.33069999999998</v>
      </c>
      <c r="O159">
        <f t="shared" si="5"/>
        <v>1.5442970807466594E-5</v>
      </c>
    </row>
    <row r="160" spans="7:15" x14ac:dyDescent="0.25">
      <c r="G160" s="23">
        <v>41141</v>
      </c>
      <c r="H160" s="22">
        <v>611.26689999999996</v>
      </c>
      <c r="I160">
        <f t="shared" si="4"/>
        <v>-2.1267260427171308E-6</v>
      </c>
      <c r="J160" s="23">
        <v>41141</v>
      </c>
      <c r="K160" s="22">
        <v>848.85490000000004</v>
      </c>
      <c r="L160">
        <f t="shared" si="4"/>
        <v>-3.3220121828270166E-5</v>
      </c>
      <c r="M160" s="23">
        <v>41131</v>
      </c>
      <c r="N160" s="22">
        <v>971.37180000000001</v>
      </c>
      <c r="O160">
        <f t="shared" si="5"/>
        <v>4.2313086572987046E-5</v>
      </c>
    </row>
    <row r="161" spans="7:15" x14ac:dyDescent="0.25">
      <c r="G161" s="23">
        <v>41142</v>
      </c>
      <c r="H161" s="22">
        <v>609.31309999999996</v>
      </c>
      <c r="I161">
        <f t="shared" si="4"/>
        <v>-3.1963124455127723E-3</v>
      </c>
      <c r="J161" s="23">
        <v>41142</v>
      </c>
      <c r="K161" s="22">
        <v>847.7568</v>
      </c>
      <c r="L161">
        <f t="shared" si="4"/>
        <v>-1.2936250942299221E-3</v>
      </c>
      <c r="M161" s="23">
        <v>41134</v>
      </c>
      <c r="N161" s="22">
        <v>971.36469999999997</v>
      </c>
      <c r="O161">
        <f t="shared" si="5"/>
        <v>-7.3092506907013188E-6</v>
      </c>
    </row>
    <row r="162" spans="7:15" x14ac:dyDescent="0.25">
      <c r="G162" s="23">
        <v>41143</v>
      </c>
      <c r="H162" s="22">
        <v>609.43150000000003</v>
      </c>
      <c r="I162">
        <f t="shared" si="4"/>
        <v>1.9431717453644026E-4</v>
      </c>
      <c r="J162" s="23">
        <v>41143</v>
      </c>
      <c r="K162" s="22">
        <v>847.96249999999998</v>
      </c>
      <c r="L162">
        <f t="shared" si="4"/>
        <v>2.4264034213583585E-4</v>
      </c>
      <c r="M162" s="23">
        <v>41135</v>
      </c>
      <c r="N162" s="22">
        <v>971.41250000000002</v>
      </c>
      <c r="O162">
        <f t="shared" si="5"/>
        <v>4.9209117852555551E-5</v>
      </c>
    </row>
    <row r="163" spans="7:15" x14ac:dyDescent="0.25">
      <c r="G163" s="23">
        <v>41144</v>
      </c>
      <c r="H163" s="22">
        <v>609.43579999999997</v>
      </c>
      <c r="I163">
        <f t="shared" si="4"/>
        <v>7.055756061191687E-6</v>
      </c>
      <c r="J163" s="23">
        <v>41144</v>
      </c>
      <c r="K163" s="22">
        <v>848.01969999999994</v>
      </c>
      <c r="L163">
        <f t="shared" si="4"/>
        <v>6.7455813199224224E-5</v>
      </c>
      <c r="M163" s="23">
        <v>41136</v>
      </c>
      <c r="N163" s="22">
        <v>971.1549</v>
      </c>
      <c r="O163">
        <f t="shared" si="5"/>
        <v>-2.6518085777160749E-4</v>
      </c>
    </row>
    <row r="164" spans="7:15" x14ac:dyDescent="0.25">
      <c r="G164" s="23">
        <v>41145</v>
      </c>
      <c r="H164" s="22">
        <v>609.43029999999999</v>
      </c>
      <c r="I164">
        <f t="shared" si="4"/>
        <v>-9.0247405879484432E-6</v>
      </c>
      <c r="J164" s="23">
        <v>41145</v>
      </c>
      <c r="K164" s="22">
        <v>847.72090000000003</v>
      </c>
      <c r="L164">
        <f t="shared" si="4"/>
        <v>-3.5235030506941545E-4</v>
      </c>
      <c r="M164" s="23">
        <v>41137</v>
      </c>
      <c r="N164" s="22">
        <v>971.18600000000004</v>
      </c>
      <c r="O164">
        <f t="shared" si="5"/>
        <v>3.202372762567407E-5</v>
      </c>
    </row>
    <row r="165" spans="7:15" x14ac:dyDescent="0.25">
      <c r="G165" s="23">
        <v>41148</v>
      </c>
      <c r="H165" s="22">
        <v>609.33299999999997</v>
      </c>
      <c r="I165">
        <f t="shared" si="4"/>
        <v>-1.596573061759532E-4</v>
      </c>
      <c r="J165" s="23">
        <v>41148</v>
      </c>
      <c r="K165" s="22">
        <v>847.53700000000003</v>
      </c>
      <c r="L165">
        <f t="shared" si="4"/>
        <v>-2.1693460666116771E-4</v>
      </c>
      <c r="M165" s="23">
        <v>41138</v>
      </c>
      <c r="N165" s="22">
        <v>971.14779999999996</v>
      </c>
      <c r="O165">
        <f t="shared" si="5"/>
        <v>-3.9333351181003451E-5</v>
      </c>
    </row>
    <row r="166" spans="7:15" x14ac:dyDescent="0.25">
      <c r="G166" s="23">
        <v>41149</v>
      </c>
      <c r="H166" s="22">
        <v>609.33000000000004</v>
      </c>
      <c r="I166">
        <f t="shared" si="4"/>
        <v>-4.9234162599054443E-6</v>
      </c>
      <c r="J166" s="23">
        <v>41149</v>
      </c>
      <c r="K166" s="22">
        <v>847.53899999999999</v>
      </c>
      <c r="L166">
        <f t="shared" si="4"/>
        <v>2.3597789831075744E-6</v>
      </c>
      <c r="M166" s="23">
        <v>41141</v>
      </c>
      <c r="N166" s="22">
        <v>975.06169999999997</v>
      </c>
      <c r="O166">
        <f t="shared" si="5"/>
        <v>4.030179546306023E-3</v>
      </c>
    </row>
    <row r="167" spans="7:15" x14ac:dyDescent="0.25">
      <c r="G167" s="23">
        <v>41150</v>
      </c>
      <c r="H167" s="22">
        <v>603.33529999999996</v>
      </c>
      <c r="I167">
        <f t="shared" si="4"/>
        <v>-9.8381829222261574E-3</v>
      </c>
      <c r="J167" s="23">
        <v>41150</v>
      </c>
      <c r="K167" s="22">
        <v>830.61739999999998</v>
      </c>
      <c r="L167">
        <f t="shared" si="4"/>
        <v>-1.996557090588158E-2</v>
      </c>
      <c r="M167" s="23">
        <v>41142</v>
      </c>
      <c r="N167" s="22">
        <v>973.42550000000006</v>
      </c>
      <c r="O167">
        <f t="shared" si="5"/>
        <v>-1.6780476558559965E-3</v>
      </c>
    </row>
    <row r="168" spans="7:15" x14ac:dyDescent="0.25">
      <c r="G168" s="23">
        <v>41151</v>
      </c>
      <c r="H168" s="22">
        <v>603.33320000000003</v>
      </c>
      <c r="I168">
        <f t="shared" si="4"/>
        <v>-3.4806516375773811E-6</v>
      </c>
      <c r="J168" s="23">
        <v>41151</v>
      </c>
      <c r="K168" s="22">
        <v>830.61429999999996</v>
      </c>
      <c r="L168">
        <f t="shared" si="4"/>
        <v>-3.7321635689702148E-6</v>
      </c>
      <c r="M168" s="23">
        <v>41143</v>
      </c>
      <c r="N168" s="22">
        <v>973.3904</v>
      </c>
      <c r="O168">
        <f t="shared" si="5"/>
        <v>-3.605822941776804E-5</v>
      </c>
    </row>
    <row r="169" spans="7:15" x14ac:dyDescent="0.25">
      <c r="G169" s="23">
        <v>41152</v>
      </c>
      <c r="H169" s="22">
        <v>606.93939999999998</v>
      </c>
      <c r="I169">
        <f t="shared" si="4"/>
        <v>5.9771283927354535E-3</v>
      </c>
      <c r="J169" s="23">
        <v>41152</v>
      </c>
      <c r="K169" s="22">
        <v>832.5145</v>
      </c>
      <c r="L169">
        <f t="shared" si="4"/>
        <v>2.2877044134685942E-3</v>
      </c>
      <c r="M169" s="23">
        <v>41144</v>
      </c>
      <c r="N169" s="22">
        <v>973.35720000000003</v>
      </c>
      <c r="O169">
        <f t="shared" si="5"/>
        <v>-3.4107589308440822E-5</v>
      </c>
    </row>
    <row r="170" spans="7:15" x14ac:dyDescent="0.25">
      <c r="G170" s="23">
        <v>41156</v>
      </c>
      <c r="H170" s="22">
        <v>606.94060000000002</v>
      </c>
      <c r="I170">
        <f t="shared" si="4"/>
        <v>1.9771331372098189E-6</v>
      </c>
      <c r="J170" s="23">
        <v>41156</v>
      </c>
      <c r="K170" s="22">
        <v>832.51670000000001</v>
      </c>
      <c r="L170">
        <f t="shared" si="4"/>
        <v>2.6425966155319003E-6</v>
      </c>
      <c r="M170" s="23">
        <v>41145</v>
      </c>
      <c r="N170" s="22">
        <v>973.35479999999995</v>
      </c>
      <c r="O170">
        <f t="shared" si="5"/>
        <v>-2.4656929645816561E-6</v>
      </c>
    </row>
    <row r="171" spans="7:15" x14ac:dyDescent="0.25">
      <c r="G171" s="23">
        <v>41157</v>
      </c>
      <c r="H171" s="22">
        <v>606.94100000000003</v>
      </c>
      <c r="I171">
        <f t="shared" si="4"/>
        <v>6.5904307611219792E-7</v>
      </c>
      <c r="J171" s="23">
        <v>41157</v>
      </c>
      <c r="K171" s="22">
        <v>832.51750000000004</v>
      </c>
      <c r="L171">
        <f t="shared" si="4"/>
        <v>9.6094168444693651E-7</v>
      </c>
      <c r="M171" s="23">
        <v>41148</v>
      </c>
      <c r="N171" s="22">
        <v>973.35109999999997</v>
      </c>
      <c r="O171">
        <f t="shared" si="5"/>
        <v>-3.8012860263947346E-6</v>
      </c>
    </row>
    <row r="172" spans="7:15" x14ac:dyDescent="0.25">
      <c r="G172" s="23">
        <v>41158</v>
      </c>
      <c r="H172" s="22">
        <v>606.47500000000002</v>
      </c>
      <c r="I172">
        <f t="shared" si="4"/>
        <v>-7.6778467758809033E-4</v>
      </c>
      <c r="J172" s="23">
        <v>41158</v>
      </c>
      <c r="K172" s="22">
        <v>831.95609999999999</v>
      </c>
      <c r="L172">
        <f t="shared" si="4"/>
        <v>-6.7434017903533761E-4</v>
      </c>
      <c r="M172" s="23">
        <v>41149</v>
      </c>
      <c r="N172" s="22">
        <v>973.36069999999995</v>
      </c>
      <c r="O172">
        <f t="shared" si="5"/>
        <v>9.8628336682171636E-6</v>
      </c>
    </row>
    <row r="173" spans="7:15" x14ac:dyDescent="0.25">
      <c r="G173" s="23">
        <v>41159</v>
      </c>
      <c r="H173" s="22">
        <v>606.47540000000004</v>
      </c>
      <c r="I173">
        <f t="shared" si="4"/>
        <v>6.5954903338827364E-7</v>
      </c>
      <c r="J173" s="23">
        <v>41159</v>
      </c>
      <c r="K173" s="22">
        <v>831.95799999999997</v>
      </c>
      <c r="L173">
        <f t="shared" si="4"/>
        <v>2.2837743480774719E-6</v>
      </c>
      <c r="M173" s="23">
        <v>41150</v>
      </c>
      <c r="N173" s="22">
        <v>963.52480000000003</v>
      </c>
      <c r="O173">
        <f t="shared" si="5"/>
        <v>-1.0105092593115761E-2</v>
      </c>
    </row>
    <row r="174" spans="7:15" x14ac:dyDescent="0.25">
      <c r="G174" s="23">
        <v>41162</v>
      </c>
      <c r="H174" s="22">
        <v>606.47670000000005</v>
      </c>
      <c r="I174">
        <f t="shared" si="4"/>
        <v>2.1435329446983786E-6</v>
      </c>
      <c r="J174" s="23">
        <v>41162</v>
      </c>
      <c r="K174" s="22">
        <v>831.77149999999995</v>
      </c>
      <c r="L174">
        <f t="shared" si="4"/>
        <v>-2.2416997011875939E-4</v>
      </c>
      <c r="M174" s="23">
        <v>41151</v>
      </c>
      <c r="N174" s="22">
        <v>963.52570000000003</v>
      </c>
      <c r="O174">
        <f t="shared" si="5"/>
        <v>9.340704048010906E-7</v>
      </c>
    </row>
    <row r="175" spans="7:15" x14ac:dyDescent="0.25">
      <c r="G175" s="23">
        <v>41163</v>
      </c>
      <c r="H175" s="22">
        <v>606.46659999999997</v>
      </c>
      <c r="I175">
        <f t="shared" si="4"/>
        <v>-1.665356641089577E-5</v>
      </c>
      <c r="J175" s="23">
        <v>41163</v>
      </c>
      <c r="K175" s="22">
        <v>831.77189999999996</v>
      </c>
      <c r="L175">
        <f t="shared" si="4"/>
        <v>4.8090130522204788E-7</v>
      </c>
      <c r="M175" s="23">
        <v>41152</v>
      </c>
      <c r="N175" s="22">
        <v>963.54160000000002</v>
      </c>
      <c r="O175">
        <f t="shared" si="5"/>
        <v>1.6501895071296957E-5</v>
      </c>
    </row>
    <row r="176" spans="7:15" x14ac:dyDescent="0.25">
      <c r="G176" s="23">
        <v>41164</v>
      </c>
      <c r="H176" s="22">
        <v>598.1807</v>
      </c>
      <c r="I176">
        <f t="shared" si="4"/>
        <v>-1.3662582572560367E-2</v>
      </c>
      <c r="J176" s="23">
        <v>41164</v>
      </c>
      <c r="K176" s="22">
        <v>803.0453</v>
      </c>
      <c r="L176">
        <f t="shared" si="4"/>
        <v>-3.4536631978069887E-2</v>
      </c>
      <c r="M176" s="23">
        <v>41155</v>
      </c>
      <c r="N176" s="22">
        <v>963.54160000000002</v>
      </c>
      <c r="O176">
        <f t="shared" si="5"/>
        <v>0</v>
      </c>
    </row>
    <row r="177" spans="7:15" x14ac:dyDescent="0.25">
      <c r="G177" s="23">
        <v>41165</v>
      </c>
      <c r="H177" s="22">
        <v>598.18740000000003</v>
      </c>
      <c r="I177">
        <f t="shared" si="4"/>
        <v>1.1200628840191129E-5</v>
      </c>
      <c r="J177" s="23">
        <v>41165</v>
      </c>
      <c r="K177" s="22">
        <v>803.02710000000002</v>
      </c>
      <c r="L177">
        <f t="shared" si="4"/>
        <v>-2.2663727687555202E-5</v>
      </c>
      <c r="M177" s="23">
        <v>41156</v>
      </c>
      <c r="N177" s="22">
        <v>963.54960000000005</v>
      </c>
      <c r="O177">
        <f t="shared" si="5"/>
        <v>8.3027032771187947E-6</v>
      </c>
    </row>
    <row r="178" spans="7:15" x14ac:dyDescent="0.25">
      <c r="G178" s="23">
        <v>41166</v>
      </c>
      <c r="H178" s="22">
        <v>549.8818</v>
      </c>
      <c r="I178">
        <f t="shared" si="4"/>
        <v>-8.0753289019461216E-2</v>
      </c>
      <c r="J178" s="23">
        <v>41166</v>
      </c>
      <c r="K178" s="22">
        <v>724.93510000000003</v>
      </c>
      <c r="L178">
        <f t="shared" si="4"/>
        <v>-9.724702939664176E-2</v>
      </c>
      <c r="M178" s="23">
        <v>41157</v>
      </c>
      <c r="N178" s="22">
        <v>963.54579999999999</v>
      </c>
      <c r="O178">
        <f t="shared" si="5"/>
        <v>-3.9437513129625401E-6</v>
      </c>
    </row>
    <row r="179" spans="7:15" x14ac:dyDescent="0.25">
      <c r="G179" s="23">
        <v>41169</v>
      </c>
      <c r="H179" s="22">
        <v>561.55150000000003</v>
      </c>
      <c r="I179">
        <f t="shared" si="4"/>
        <v>2.122219720674523E-2</v>
      </c>
      <c r="J179" s="23">
        <v>41169</v>
      </c>
      <c r="K179" s="22">
        <v>759.7482</v>
      </c>
      <c r="L179">
        <f t="shared" si="4"/>
        <v>4.8022367795406806E-2</v>
      </c>
      <c r="M179" s="23">
        <v>41158</v>
      </c>
      <c r="N179" s="22">
        <v>963.56650000000002</v>
      </c>
      <c r="O179">
        <f t="shared" si="5"/>
        <v>2.1483151086298946E-5</v>
      </c>
    </row>
    <row r="180" spans="7:15" x14ac:dyDescent="0.25">
      <c r="G180" s="23">
        <v>41170</v>
      </c>
      <c r="H180" s="22">
        <v>561.54849999999999</v>
      </c>
      <c r="I180">
        <f t="shared" si="4"/>
        <v>-5.3423417086806424E-6</v>
      </c>
      <c r="J180" s="23">
        <v>41170</v>
      </c>
      <c r="K180" s="22">
        <v>760.71550000000002</v>
      </c>
      <c r="L180">
        <f t="shared" si="4"/>
        <v>1.2731849841829401E-3</v>
      </c>
      <c r="M180" s="23">
        <v>41159</v>
      </c>
      <c r="N180" s="22">
        <v>963.55510000000004</v>
      </c>
      <c r="O180">
        <f t="shared" si="5"/>
        <v>-1.183104643009969E-5</v>
      </c>
    </row>
    <row r="181" spans="7:15" x14ac:dyDescent="0.25">
      <c r="G181" s="23">
        <v>41171</v>
      </c>
      <c r="H181" s="22">
        <v>561.55799999999999</v>
      </c>
      <c r="I181">
        <f t="shared" si="4"/>
        <v>1.691750578980411E-5</v>
      </c>
      <c r="J181" s="23">
        <v>41171</v>
      </c>
      <c r="K181" s="22">
        <v>760.72709999999995</v>
      </c>
      <c r="L181">
        <f t="shared" si="4"/>
        <v>1.5248801950251689E-5</v>
      </c>
      <c r="M181" s="23">
        <v>41162</v>
      </c>
      <c r="N181" s="22">
        <v>963.57839999999999</v>
      </c>
      <c r="O181">
        <f t="shared" si="5"/>
        <v>2.418128449521717E-5</v>
      </c>
    </row>
    <row r="182" spans="7:15" x14ac:dyDescent="0.25">
      <c r="G182" s="23">
        <v>41172</v>
      </c>
      <c r="H182" s="22">
        <v>561.40319999999997</v>
      </c>
      <c r="I182">
        <f t="shared" si="4"/>
        <v>-2.7566164136205717E-4</v>
      </c>
      <c r="J182" s="23">
        <v>41172</v>
      </c>
      <c r="K182" s="22">
        <v>760.73069999999996</v>
      </c>
      <c r="L182">
        <f t="shared" si="4"/>
        <v>4.7323146499245183E-6</v>
      </c>
      <c r="M182" s="23">
        <v>41163</v>
      </c>
      <c r="N182" s="22">
        <v>963.58540000000005</v>
      </c>
      <c r="O182">
        <f t="shared" si="5"/>
        <v>7.2645879152233306E-6</v>
      </c>
    </row>
    <row r="183" spans="7:15" x14ac:dyDescent="0.25">
      <c r="G183" s="23">
        <v>41173</v>
      </c>
      <c r="H183" s="22">
        <v>561.40229999999997</v>
      </c>
      <c r="I183">
        <f t="shared" si="4"/>
        <v>-1.603125881710632E-6</v>
      </c>
      <c r="J183" s="23">
        <v>41173</v>
      </c>
      <c r="K183" s="22">
        <v>760.73239999999998</v>
      </c>
      <c r="L183">
        <f t="shared" si="4"/>
        <v>2.2346935650841004E-6</v>
      </c>
      <c r="M183" s="23">
        <v>41164</v>
      </c>
      <c r="N183" s="22">
        <v>927.01419999999996</v>
      </c>
      <c r="O183">
        <f t="shared" si="5"/>
        <v>-3.7953252508807322E-2</v>
      </c>
    </row>
    <row r="184" spans="7:15" x14ac:dyDescent="0.25">
      <c r="G184" s="23">
        <v>41176</v>
      </c>
      <c r="H184" s="22">
        <v>551.76790000000005</v>
      </c>
      <c r="I184">
        <f t="shared" si="4"/>
        <v>-1.7161311950449676E-2</v>
      </c>
      <c r="J184" s="23">
        <v>41176</v>
      </c>
      <c r="K184" s="22">
        <v>757.2</v>
      </c>
      <c r="L184">
        <f t="shared" si="4"/>
        <v>-4.6434199463568637E-3</v>
      </c>
      <c r="M184" s="23">
        <v>41165</v>
      </c>
      <c r="N184" s="22">
        <v>927.02909999999997</v>
      </c>
      <c r="O184">
        <f t="shared" si="5"/>
        <v>1.6073108696668115E-5</v>
      </c>
    </row>
    <row r="185" spans="7:15" x14ac:dyDescent="0.25">
      <c r="G185" s="23">
        <v>41177</v>
      </c>
      <c r="H185" s="22">
        <v>555.30629999999996</v>
      </c>
      <c r="I185">
        <f t="shared" si="4"/>
        <v>6.4128413414406005E-3</v>
      </c>
      <c r="J185" s="23">
        <v>41177</v>
      </c>
      <c r="K185" s="22">
        <v>760.69010000000003</v>
      </c>
      <c r="L185">
        <f t="shared" si="4"/>
        <v>4.6092181722134917E-3</v>
      </c>
      <c r="M185" s="23">
        <v>41166</v>
      </c>
      <c r="N185" s="22">
        <v>835.96860000000004</v>
      </c>
      <c r="O185">
        <f t="shared" si="5"/>
        <v>-9.8228308043404433E-2</v>
      </c>
    </row>
    <row r="186" spans="7:15" x14ac:dyDescent="0.25">
      <c r="G186" s="23">
        <v>41178</v>
      </c>
      <c r="H186" s="22">
        <v>555.52170000000001</v>
      </c>
      <c r="I186">
        <f t="shared" si="4"/>
        <v>3.8789403253680632E-4</v>
      </c>
      <c r="J186" s="23">
        <v>41178</v>
      </c>
      <c r="K186" s="22">
        <v>759.83619999999996</v>
      </c>
      <c r="L186">
        <f t="shared" si="4"/>
        <v>-1.1225333417643757E-3</v>
      </c>
      <c r="M186" s="23">
        <v>41169</v>
      </c>
      <c r="N186" s="22">
        <v>877.08969999999999</v>
      </c>
      <c r="O186">
        <f t="shared" si="5"/>
        <v>4.9189766218491915E-2</v>
      </c>
    </row>
    <row r="187" spans="7:15" x14ac:dyDescent="0.25">
      <c r="G187" s="23">
        <v>41179</v>
      </c>
      <c r="H187" s="22">
        <v>554.72270000000003</v>
      </c>
      <c r="I187">
        <f t="shared" si="4"/>
        <v>-1.438287649249359E-3</v>
      </c>
      <c r="J187" s="23">
        <v>41179</v>
      </c>
      <c r="K187" s="22">
        <v>759.83720000000005</v>
      </c>
      <c r="L187">
        <f t="shared" si="4"/>
        <v>1.3160731222594535E-6</v>
      </c>
      <c r="M187" s="23">
        <v>41170</v>
      </c>
      <c r="N187" s="22">
        <v>877.08680000000004</v>
      </c>
      <c r="O187">
        <f t="shared" si="5"/>
        <v>-3.3063893007945211E-6</v>
      </c>
    </row>
    <row r="188" spans="7:15" x14ac:dyDescent="0.25">
      <c r="G188" s="23">
        <v>41180</v>
      </c>
      <c r="H188" s="22">
        <v>527.41290000000004</v>
      </c>
      <c r="I188">
        <f t="shared" si="4"/>
        <v>-4.9231444828199744E-2</v>
      </c>
      <c r="J188" s="23">
        <v>41180</v>
      </c>
      <c r="K188" s="22">
        <v>717.85879999999997</v>
      </c>
      <c r="L188">
        <f t="shared" si="4"/>
        <v>-5.524657123920762E-2</v>
      </c>
      <c r="M188" s="23">
        <v>41171</v>
      </c>
      <c r="N188" s="22">
        <v>877.07249999999999</v>
      </c>
      <c r="O188">
        <f t="shared" si="5"/>
        <v>-1.6303973563447371E-5</v>
      </c>
    </row>
    <row r="189" spans="7:15" x14ac:dyDescent="0.25">
      <c r="G189" s="23">
        <v>41183</v>
      </c>
      <c r="H189" s="22">
        <v>527.90409999999997</v>
      </c>
      <c r="I189">
        <f t="shared" si="4"/>
        <v>9.3133861534289153E-4</v>
      </c>
      <c r="J189" s="23">
        <v>41183</v>
      </c>
      <c r="K189" s="22">
        <v>718.66010000000006</v>
      </c>
      <c r="L189">
        <f t="shared" si="4"/>
        <v>1.1162362291861072E-3</v>
      </c>
      <c r="M189" s="23">
        <v>41172</v>
      </c>
      <c r="N189" s="22">
        <v>877.05930000000001</v>
      </c>
      <c r="O189">
        <f t="shared" si="5"/>
        <v>-1.5050067126654021E-5</v>
      </c>
    </row>
    <row r="190" spans="7:15" x14ac:dyDescent="0.25">
      <c r="G190" s="23">
        <v>41184</v>
      </c>
      <c r="H190" s="22">
        <v>527.89779999999996</v>
      </c>
      <c r="I190">
        <f t="shared" si="4"/>
        <v>-1.1933985737178077E-5</v>
      </c>
      <c r="J190" s="23">
        <v>41184</v>
      </c>
      <c r="K190" s="22">
        <v>718.6259</v>
      </c>
      <c r="L190">
        <f t="shared" si="4"/>
        <v>-4.7588560990186046E-5</v>
      </c>
      <c r="M190" s="23">
        <v>41173</v>
      </c>
      <c r="N190" s="22">
        <v>877.06150000000002</v>
      </c>
      <c r="O190">
        <f t="shared" si="5"/>
        <v>2.5083822725591176E-6</v>
      </c>
    </row>
    <row r="191" spans="7:15" x14ac:dyDescent="0.25">
      <c r="G191" s="23">
        <v>41185</v>
      </c>
      <c r="H191" s="22">
        <v>527.51750000000004</v>
      </c>
      <c r="I191">
        <f t="shared" si="4"/>
        <v>-7.2040459346467411E-4</v>
      </c>
      <c r="J191" s="23">
        <v>41185</v>
      </c>
      <c r="K191" s="22">
        <v>718.62379999999996</v>
      </c>
      <c r="L191">
        <f t="shared" si="4"/>
        <v>-2.9222436875864233E-6</v>
      </c>
      <c r="M191" s="23">
        <v>41176</v>
      </c>
      <c r="N191" s="22">
        <v>874.00210000000004</v>
      </c>
      <c r="O191">
        <f t="shared" si="5"/>
        <v>-3.4882388521215724E-3</v>
      </c>
    </row>
    <row r="192" spans="7:15" x14ac:dyDescent="0.25">
      <c r="G192" s="23">
        <v>41186</v>
      </c>
      <c r="H192" s="22">
        <v>527.51750000000004</v>
      </c>
      <c r="I192">
        <f t="shared" si="4"/>
        <v>0</v>
      </c>
      <c r="J192" s="23">
        <v>41186</v>
      </c>
      <c r="K192" s="22">
        <v>718.62260000000003</v>
      </c>
      <c r="L192">
        <f t="shared" si="4"/>
        <v>-1.6698584154317686E-6</v>
      </c>
      <c r="M192" s="23">
        <v>41177</v>
      </c>
      <c r="N192" s="22">
        <v>874.01220000000001</v>
      </c>
      <c r="O192">
        <f t="shared" si="5"/>
        <v>1.1556036306981099E-5</v>
      </c>
    </row>
    <row r="193" spans="7:15" x14ac:dyDescent="0.25">
      <c r="G193" s="23">
        <v>41187</v>
      </c>
      <c r="H193" s="22">
        <v>527.5231</v>
      </c>
      <c r="I193">
        <f t="shared" si="4"/>
        <v>1.0615761562249304E-5</v>
      </c>
      <c r="J193" s="23">
        <v>41187</v>
      </c>
      <c r="K193" s="22">
        <v>718.45830000000001</v>
      </c>
      <c r="L193">
        <f t="shared" si="4"/>
        <v>-2.2863182983667851E-4</v>
      </c>
      <c r="M193" s="23">
        <v>41178</v>
      </c>
      <c r="N193" s="22">
        <v>873.99670000000003</v>
      </c>
      <c r="O193">
        <f t="shared" si="5"/>
        <v>-1.7734306225869467E-5</v>
      </c>
    </row>
    <row r="194" spans="7:15" x14ac:dyDescent="0.25">
      <c r="G194" s="23">
        <v>41191</v>
      </c>
      <c r="H194" s="22">
        <v>527.52660000000003</v>
      </c>
      <c r="I194">
        <f t="shared" si="4"/>
        <v>6.6347805434130436E-6</v>
      </c>
      <c r="J194" s="23">
        <v>41191</v>
      </c>
      <c r="K194" s="22">
        <v>718.46510000000001</v>
      </c>
      <c r="L194">
        <f t="shared" si="4"/>
        <v>9.4647107562462196E-6</v>
      </c>
      <c r="M194" s="23">
        <v>41179</v>
      </c>
      <c r="N194" s="22">
        <v>863.68290000000002</v>
      </c>
      <c r="O194">
        <f t="shared" si="5"/>
        <v>-1.1800731055391922E-2</v>
      </c>
    </row>
    <row r="195" spans="7:15" x14ac:dyDescent="0.25">
      <c r="G195" s="23">
        <v>41192</v>
      </c>
      <c r="H195" s="22">
        <v>527.52689999999996</v>
      </c>
      <c r="I195">
        <f t="shared" si="4"/>
        <v>5.6869170195206209E-7</v>
      </c>
      <c r="J195" s="23">
        <v>41192</v>
      </c>
      <c r="K195" s="22">
        <v>718.46939999999995</v>
      </c>
      <c r="L195">
        <f t="shared" si="4"/>
        <v>5.9849810378764801E-6</v>
      </c>
      <c r="M195" s="23">
        <v>41180</v>
      </c>
      <c r="N195" s="22">
        <v>828.42570000000001</v>
      </c>
      <c r="O195">
        <f t="shared" si="5"/>
        <v>-4.0821926658499375E-2</v>
      </c>
    </row>
    <row r="196" spans="7:15" x14ac:dyDescent="0.25">
      <c r="G196" s="23">
        <v>41193</v>
      </c>
      <c r="H196" s="22">
        <v>527.52070000000003</v>
      </c>
      <c r="I196">
        <f t="shared" ref="I196:L259" si="6">H196/H195-1</f>
        <v>-1.175295515720709E-5</v>
      </c>
      <c r="J196" s="23">
        <v>41193</v>
      </c>
      <c r="K196" s="22">
        <v>718.44050000000004</v>
      </c>
      <c r="L196">
        <f t="shared" si="6"/>
        <v>-4.0224399257549059E-5</v>
      </c>
      <c r="M196" s="23">
        <v>41183</v>
      </c>
      <c r="N196" s="22">
        <v>833.2663</v>
      </c>
      <c r="O196">
        <f t="shared" ref="O196:O259" si="7">N196/N195-1</f>
        <v>5.8431311341500258E-3</v>
      </c>
    </row>
    <row r="197" spans="7:15" x14ac:dyDescent="0.25">
      <c r="G197" s="23">
        <v>41194</v>
      </c>
      <c r="H197" s="22">
        <v>502.97140000000002</v>
      </c>
      <c r="I197">
        <f t="shared" si="6"/>
        <v>-4.6537131149545385E-2</v>
      </c>
      <c r="J197" s="23">
        <v>41194</v>
      </c>
      <c r="K197" s="22">
        <v>693.77859999999998</v>
      </c>
      <c r="L197">
        <f t="shared" si="6"/>
        <v>-3.4326990196126284E-2</v>
      </c>
      <c r="M197" s="23">
        <v>41184</v>
      </c>
      <c r="N197" s="22">
        <v>833.23620000000005</v>
      </c>
      <c r="O197">
        <f t="shared" si="7"/>
        <v>-3.6122905726521104E-5</v>
      </c>
    </row>
    <row r="198" spans="7:15" x14ac:dyDescent="0.25">
      <c r="G198" s="23">
        <v>41197</v>
      </c>
      <c r="H198" s="22">
        <v>488.22919999999999</v>
      </c>
      <c r="I198">
        <f t="shared" si="6"/>
        <v>-2.9310215252795757E-2</v>
      </c>
      <c r="J198" s="23">
        <v>41197</v>
      </c>
      <c r="K198" s="22">
        <v>669.73109999999997</v>
      </c>
      <c r="L198">
        <f t="shared" si="6"/>
        <v>-3.4661634129389385E-2</v>
      </c>
      <c r="M198" s="23">
        <v>41185</v>
      </c>
      <c r="N198" s="22">
        <v>833.23689999999999</v>
      </c>
      <c r="O198">
        <f t="shared" si="7"/>
        <v>8.4009792167272224E-7</v>
      </c>
    </row>
    <row r="199" spans="7:15" x14ac:dyDescent="0.25">
      <c r="G199" s="23">
        <v>41198</v>
      </c>
      <c r="H199" s="22">
        <v>488.22109999999998</v>
      </c>
      <c r="I199">
        <f t="shared" si="6"/>
        <v>-1.6590568528096483E-5</v>
      </c>
      <c r="J199" s="23">
        <v>41198</v>
      </c>
      <c r="K199" s="22">
        <v>669.72580000000005</v>
      </c>
      <c r="L199">
        <f t="shared" si="6"/>
        <v>-7.9136238408938908E-6</v>
      </c>
      <c r="M199" s="23">
        <v>41186</v>
      </c>
      <c r="N199" s="22">
        <v>833.2473</v>
      </c>
      <c r="O199">
        <f t="shared" si="7"/>
        <v>1.2481444352729909E-5</v>
      </c>
    </row>
    <row r="200" spans="7:15" x14ac:dyDescent="0.25">
      <c r="G200" s="23">
        <v>41199</v>
      </c>
      <c r="H200" s="22">
        <v>488.22239999999999</v>
      </c>
      <c r="I200">
        <f t="shared" si="6"/>
        <v>2.6627280140800735E-6</v>
      </c>
      <c r="J200" s="23">
        <v>41199</v>
      </c>
      <c r="K200" s="22">
        <v>669.73649999999998</v>
      </c>
      <c r="L200">
        <f t="shared" si="6"/>
        <v>1.5976687772756293E-5</v>
      </c>
      <c r="M200" s="23">
        <v>41187</v>
      </c>
      <c r="N200" s="22">
        <v>833.24180000000001</v>
      </c>
      <c r="O200">
        <f t="shared" si="7"/>
        <v>-6.6006814543051462E-6</v>
      </c>
    </row>
    <row r="201" spans="7:15" x14ac:dyDescent="0.25">
      <c r="G201" s="23">
        <v>41200</v>
      </c>
      <c r="H201" s="22">
        <v>488.20139999999998</v>
      </c>
      <c r="I201">
        <f t="shared" si="6"/>
        <v>-4.3013184155449302E-5</v>
      </c>
      <c r="J201" s="23">
        <v>41200</v>
      </c>
      <c r="K201" s="22">
        <v>669.70349999999996</v>
      </c>
      <c r="L201">
        <f t="shared" si="6"/>
        <v>-4.9273109648417801E-5</v>
      </c>
      <c r="M201" s="23">
        <v>41190</v>
      </c>
      <c r="N201" s="22">
        <v>833.24180000000001</v>
      </c>
      <c r="O201">
        <f t="shared" si="7"/>
        <v>0</v>
      </c>
    </row>
    <row r="202" spans="7:15" x14ac:dyDescent="0.25">
      <c r="G202" s="23">
        <v>41201</v>
      </c>
      <c r="H202" s="22">
        <v>488.07080000000002</v>
      </c>
      <c r="I202">
        <f t="shared" si="6"/>
        <v>-2.6751254707579886E-4</v>
      </c>
      <c r="J202" s="23">
        <v>41201</v>
      </c>
      <c r="K202" s="22">
        <v>669.71370000000002</v>
      </c>
      <c r="L202">
        <f t="shared" si="6"/>
        <v>1.5230620715067644E-5</v>
      </c>
      <c r="M202" s="23">
        <v>41191</v>
      </c>
      <c r="N202" s="22">
        <v>833.24649999999997</v>
      </c>
      <c r="O202">
        <f t="shared" si="7"/>
        <v>5.6406195656499847E-6</v>
      </c>
    </row>
    <row r="203" spans="7:15" x14ac:dyDescent="0.25">
      <c r="G203" s="23">
        <v>41204</v>
      </c>
      <c r="H203" s="22">
        <v>488.26589999999999</v>
      </c>
      <c r="I203">
        <f t="shared" si="6"/>
        <v>3.9973708732410351E-4</v>
      </c>
      <c r="J203" s="23">
        <v>41204</v>
      </c>
      <c r="K203" s="22">
        <v>669.69330000000002</v>
      </c>
      <c r="L203">
        <f t="shared" si="6"/>
        <v>-3.0460777493468427E-5</v>
      </c>
      <c r="M203" s="23">
        <v>41192</v>
      </c>
      <c r="N203" s="22">
        <v>833.46339999999998</v>
      </c>
      <c r="O203">
        <f t="shared" si="7"/>
        <v>2.603071240023791E-4</v>
      </c>
    </row>
    <row r="204" spans="7:15" x14ac:dyDescent="0.25">
      <c r="G204" s="23">
        <v>41205</v>
      </c>
      <c r="H204" s="22">
        <v>488.27730000000003</v>
      </c>
      <c r="I204">
        <f t="shared" si="6"/>
        <v>2.3347933984396718E-5</v>
      </c>
      <c r="J204" s="23">
        <v>41205</v>
      </c>
      <c r="K204" s="22">
        <v>669.72799999999995</v>
      </c>
      <c r="L204">
        <f t="shared" si="6"/>
        <v>5.1814763563973187E-5</v>
      </c>
      <c r="M204" s="23">
        <v>41193</v>
      </c>
      <c r="N204" s="22">
        <v>833.46510000000001</v>
      </c>
      <c r="O204">
        <f t="shared" si="7"/>
        <v>2.0396816464707257E-6</v>
      </c>
    </row>
    <row r="205" spans="7:15" x14ac:dyDescent="0.25">
      <c r="G205" s="23">
        <v>41206</v>
      </c>
      <c r="H205" s="22">
        <v>488.2663</v>
      </c>
      <c r="I205">
        <f t="shared" si="6"/>
        <v>-2.2528182244019312E-5</v>
      </c>
      <c r="J205" s="23">
        <v>41206</v>
      </c>
      <c r="K205" s="22">
        <v>669.6979</v>
      </c>
      <c r="L205">
        <f t="shared" si="6"/>
        <v>-4.4943618901949201E-5</v>
      </c>
      <c r="M205" s="23">
        <v>41194</v>
      </c>
      <c r="N205" s="22">
        <v>805.18179999999995</v>
      </c>
      <c r="O205">
        <f t="shared" si="7"/>
        <v>-3.3934594261955331E-2</v>
      </c>
    </row>
    <row r="206" spans="7:15" x14ac:dyDescent="0.25">
      <c r="G206" s="23">
        <v>41207</v>
      </c>
      <c r="H206" s="22">
        <v>488.61739999999998</v>
      </c>
      <c r="I206">
        <f t="shared" si="6"/>
        <v>7.1907481634503334E-4</v>
      </c>
      <c r="J206" s="23">
        <v>41207</v>
      </c>
      <c r="K206" s="22">
        <v>669.89610000000005</v>
      </c>
      <c r="L206">
        <f t="shared" si="6"/>
        <v>2.9595434000917464E-4</v>
      </c>
      <c r="M206" s="23">
        <v>41197</v>
      </c>
      <c r="N206" s="22">
        <v>776.28380000000004</v>
      </c>
      <c r="O206">
        <f t="shared" si="7"/>
        <v>-3.5890031294795621E-2</v>
      </c>
    </row>
    <row r="207" spans="7:15" x14ac:dyDescent="0.25">
      <c r="G207" s="23">
        <v>41208</v>
      </c>
      <c r="H207" s="22">
        <v>488.6182</v>
      </c>
      <c r="I207">
        <f t="shared" si="6"/>
        <v>1.6372728437463735E-6</v>
      </c>
      <c r="J207" s="23">
        <v>41208</v>
      </c>
      <c r="K207" s="22">
        <v>669.89909999999998</v>
      </c>
      <c r="L207">
        <f t="shared" si="6"/>
        <v>4.4783064119258142E-6</v>
      </c>
      <c r="M207" s="23">
        <v>41198</v>
      </c>
      <c r="N207" s="22">
        <v>776.2921</v>
      </c>
      <c r="O207">
        <f t="shared" si="7"/>
        <v>1.0691966005227371E-5</v>
      </c>
    </row>
    <row r="208" spans="7:15" x14ac:dyDescent="0.25">
      <c r="G208" s="23">
        <v>41211</v>
      </c>
      <c r="H208" s="22">
        <v>488.61919999999998</v>
      </c>
      <c r="I208">
        <f t="shared" si="6"/>
        <v>2.0465877037523228E-6</v>
      </c>
      <c r="J208" s="23">
        <v>41211</v>
      </c>
      <c r="K208" s="22">
        <v>669.89509999999996</v>
      </c>
      <c r="L208">
        <f t="shared" si="6"/>
        <v>-5.9710484758834781E-6</v>
      </c>
      <c r="M208" s="23">
        <v>41199</v>
      </c>
      <c r="N208" s="22">
        <v>776.09270000000004</v>
      </c>
      <c r="O208">
        <f t="shared" si="7"/>
        <v>-2.5686207549968643E-4</v>
      </c>
    </row>
    <row r="209" spans="7:15" x14ac:dyDescent="0.25">
      <c r="G209" s="23">
        <v>41213</v>
      </c>
      <c r="H209" s="22">
        <v>493.92259999999999</v>
      </c>
      <c r="I209">
        <f t="shared" si="6"/>
        <v>1.0853851015269145E-2</v>
      </c>
      <c r="J209" s="23">
        <v>41213</v>
      </c>
      <c r="K209" s="22">
        <v>676.95600000000002</v>
      </c>
      <c r="L209">
        <f t="shared" si="6"/>
        <v>1.0540306982391723E-2</v>
      </c>
      <c r="M209" s="23">
        <v>41200</v>
      </c>
      <c r="N209" s="22">
        <v>776.11450000000002</v>
      </c>
      <c r="O209">
        <f t="shared" si="7"/>
        <v>2.808942797671854E-5</v>
      </c>
    </row>
    <row r="210" spans="7:15" x14ac:dyDescent="0.25">
      <c r="G210" s="23">
        <v>41214</v>
      </c>
      <c r="H210" s="22">
        <v>493.48149999999998</v>
      </c>
      <c r="I210">
        <f t="shared" si="6"/>
        <v>-8.9305490374402829E-4</v>
      </c>
      <c r="J210" s="23">
        <v>41214</v>
      </c>
      <c r="K210" s="22">
        <v>676.78489999999999</v>
      </c>
      <c r="L210">
        <f t="shared" si="6"/>
        <v>-2.5274907084071874E-4</v>
      </c>
      <c r="M210" s="23">
        <v>41201</v>
      </c>
      <c r="N210" s="22">
        <v>776.10699999999997</v>
      </c>
      <c r="O210">
        <f t="shared" si="7"/>
        <v>-9.6635225860230989E-6</v>
      </c>
    </row>
    <row r="211" spans="7:15" x14ac:dyDescent="0.25">
      <c r="G211" s="23">
        <v>41215</v>
      </c>
      <c r="H211" s="22">
        <v>493.88679999999999</v>
      </c>
      <c r="I211">
        <f t="shared" si="6"/>
        <v>8.2130738437014017E-4</v>
      </c>
      <c r="J211" s="23">
        <v>41215</v>
      </c>
      <c r="K211" s="22">
        <v>676.74869999999999</v>
      </c>
      <c r="L211">
        <f t="shared" si="6"/>
        <v>-5.348819100425839E-5</v>
      </c>
      <c r="M211" s="23">
        <v>41204</v>
      </c>
      <c r="N211" s="22">
        <v>776.22500000000002</v>
      </c>
      <c r="O211">
        <f t="shared" si="7"/>
        <v>1.5204089126896747E-4</v>
      </c>
    </row>
    <row r="212" spans="7:15" x14ac:dyDescent="0.25">
      <c r="G212" s="23">
        <v>41218</v>
      </c>
      <c r="H212" s="22">
        <v>493.86750000000001</v>
      </c>
      <c r="I212">
        <f t="shared" si="6"/>
        <v>-3.9077780576435295E-5</v>
      </c>
      <c r="J212" s="23">
        <v>41218</v>
      </c>
      <c r="K212" s="22">
        <v>676.76509999999996</v>
      </c>
      <c r="L212">
        <f t="shared" si="6"/>
        <v>2.4233515335758682E-5</v>
      </c>
      <c r="M212" s="23">
        <v>41205</v>
      </c>
      <c r="N212" s="22">
        <v>776.24429999999995</v>
      </c>
      <c r="O212">
        <f t="shared" si="7"/>
        <v>2.4863924763973699E-5</v>
      </c>
    </row>
    <row r="213" spans="7:15" x14ac:dyDescent="0.25">
      <c r="G213" s="23">
        <v>41219</v>
      </c>
      <c r="H213" s="22">
        <v>493.86750000000001</v>
      </c>
      <c r="I213">
        <f t="shared" si="6"/>
        <v>0</v>
      </c>
      <c r="J213" s="23">
        <v>41219</v>
      </c>
      <c r="K213" s="22">
        <v>676.76409999999998</v>
      </c>
      <c r="L213">
        <f t="shared" si="6"/>
        <v>-1.4776175661923574E-6</v>
      </c>
      <c r="M213" s="23">
        <v>41206</v>
      </c>
      <c r="N213" s="22">
        <v>781.4633</v>
      </c>
      <c r="O213">
        <f t="shared" si="7"/>
        <v>6.7233988062780359E-3</v>
      </c>
    </row>
    <row r="214" spans="7:15" x14ac:dyDescent="0.25">
      <c r="G214" s="23">
        <v>41220</v>
      </c>
      <c r="H214" s="22">
        <v>493.86619999999999</v>
      </c>
      <c r="I214">
        <f t="shared" si="6"/>
        <v>-2.6322849752125066E-6</v>
      </c>
      <c r="J214" s="23">
        <v>41220</v>
      </c>
      <c r="K214" s="22">
        <v>676.77359999999999</v>
      </c>
      <c r="L214">
        <f t="shared" si="6"/>
        <v>1.403738762140172E-5</v>
      </c>
      <c r="M214" s="23">
        <v>41207</v>
      </c>
      <c r="N214" s="22">
        <v>779.59360000000004</v>
      </c>
      <c r="O214">
        <f t="shared" si="7"/>
        <v>-2.3925627729414201E-3</v>
      </c>
    </row>
    <row r="215" spans="7:15" x14ac:dyDescent="0.25">
      <c r="G215" s="23">
        <v>41221</v>
      </c>
      <c r="H215" s="22">
        <v>493.86720000000003</v>
      </c>
      <c r="I215">
        <f t="shared" si="6"/>
        <v>2.0248399263955719E-6</v>
      </c>
      <c r="J215" s="23">
        <v>41221</v>
      </c>
      <c r="K215" s="22">
        <v>676.86959999999999</v>
      </c>
      <c r="L215">
        <f t="shared" si="6"/>
        <v>1.4184950476803238E-4</v>
      </c>
      <c r="M215" s="23">
        <v>41208</v>
      </c>
      <c r="N215" s="22">
        <v>779.57240000000002</v>
      </c>
      <c r="O215">
        <f t="shared" si="7"/>
        <v>-2.7193655771418079E-5</v>
      </c>
    </row>
    <row r="216" spans="7:15" x14ac:dyDescent="0.25">
      <c r="G216" s="23">
        <v>41222</v>
      </c>
      <c r="H216" s="22">
        <v>493.86610000000002</v>
      </c>
      <c r="I216">
        <f t="shared" si="6"/>
        <v>-2.2273194089095227E-6</v>
      </c>
      <c r="J216" s="23">
        <v>41222</v>
      </c>
      <c r="K216" s="22">
        <v>676.78279999999995</v>
      </c>
      <c r="L216">
        <f t="shared" si="6"/>
        <v>-1.2823740348222312E-4</v>
      </c>
      <c r="M216" s="23">
        <v>41211</v>
      </c>
      <c r="N216" s="22">
        <v>779.57039999999995</v>
      </c>
      <c r="O216">
        <f t="shared" si="7"/>
        <v>-2.5655089893605876E-6</v>
      </c>
    </row>
    <row r="217" spans="7:15" x14ac:dyDescent="0.25">
      <c r="G217" s="23">
        <v>41226</v>
      </c>
      <c r="H217" s="22">
        <v>491.83580000000001</v>
      </c>
      <c r="I217">
        <f t="shared" si="6"/>
        <v>-4.1110333347439409E-3</v>
      </c>
      <c r="J217" s="23">
        <v>41226</v>
      </c>
      <c r="K217" s="22">
        <v>676.40229999999997</v>
      </c>
      <c r="L217">
        <f t="shared" si="6"/>
        <v>-5.6221877979167889E-4</v>
      </c>
      <c r="M217" s="23">
        <v>41212</v>
      </c>
      <c r="N217" s="22">
        <v>779.57619999999997</v>
      </c>
      <c r="O217">
        <f t="shared" si="7"/>
        <v>7.4399951563997035E-6</v>
      </c>
    </row>
    <row r="218" spans="7:15" x14ac:dyDescent="0.25">
      <c r="G218" s="23">
        <v>41227</v>
      </c>
      <c r="H218" s="22">
        <v>491.82760000000002</v>
      </c>
      <c r="I218">
        <f t="shared" si="6"/>
        <v>-1.6672230854219983E-5</v>
      </c>
      <c r="J218" s="23">
        <v>41227</v>
      </c>
      <c r="K218" s="22">
        <v>676.34180000000003</v>
      </c>
      <c r="L218">
        <f t="shared" si="6"/>
        <v>-8.9443811766898307E-5</v>
      </c>
      <c r="M218" s="23">
        <v>41213</v>
      </c>
      <c r="N218" s="22">
        <v>779.57839999999999</v>
      </c>
      <c r="O218">
        <f t="shared" si="7"/>
        <v>2.822046132333611E-6</v>
      </c>
    </row>
    <row r="219" spans="7:15" x14ac:dyDescent="0.25">
      <c r="G219" s="23">
        <v>41228</v>
      </c>
      <c r="H219" s="22">
        <v>491.81479999999999</v>
      </c>
      <c r="I219">
        <f t="shared" si="6"/>
        <v>-2.602537962492768E-5</v>
      </c>
      <c r="J219" s="23">
        <v>41228</v>
      </c>
      <c r="K219" s="22">
        <v>676.33680000000004</v>
      </c>
      <c r="L219">
        <f t="shared" si="6"/>
        <v>-7.3927117916205987E-6</v>
      </c>
      <c r="M219" s="23">
        <v>41214</v>
      </c>
      <c r="N219" s="22">
        <v>779.58420000000001</v>
      </c>
      <c r="O219">
        <f t="shared" si="7"/>
        <v>7.4399188074725231E-6</v>
      </c>
    </row>
    <row r="220" spans="7:15" x14ac:dyDescent="0.25">
      <c r="G220" s="23">
        <v>41229</v>
      </c>
      <c r="H220" s="22">
        <v>491.76900000000001</v>
      </c>
      <c r="I220">
        <f t="shared" si="6"/>
        <v>-9.3124485070372742E-5</v>
      </c>
      <c r="J220" s="23">
        <v>41229</v>
      </c>
      <c r="K220" s="22">
        <v>676.25990000000002</v>
      </c>
      <c r="L220">
        <f t="shared" si="6"/>
        <v>-1.1370074791139384E-4</v>
      </c>
      <c r="M220" s="23">
        <v>41215</v>
      </c>
      <c r="N220" s="22">
        <v>779.64980000000003</v>
      </c>
      <c r="O220">
        <f t="shared" si="7"/>
        <v>8.4147421151037349E-5</v>
      </c>
    </row>
    <row r="221" spans="7:15" x14ac:dyDescent="0.25">
      <c r="G221" s="23">
        <v>41232</v>
      </c>
      <c r="H221" s="22">
        <v>491.77019999999999</v>
      </c>
      <c r="I221">
        <f t="shared" si="6"/>
        <v>2.4401700797760384E-6</v>
      </c>
      <c r="J221" s="23">
        <v>41232</v>
      </c>
      <c r="K221" s="22">
        <v>676.23910000000001</v>
      </c>
      <c r="L221">
        <f t="shared" si="6"/>
        <v>-3.0757405547809924E-5</v>
      </c>
      <c r="M221" s="23">
        <v>41218</v>
      </c>
      <c r="N221" s="22">
        <v>779.92240000000004</v>
      </c>
      <c r="O221">
        <f t="shared" si="7"/>
        <v>3.4964416075022875E-4</v>
      </c>
    </row>
    <row r="222" spans="7:15" x14ac:dyDescent="0.25">
      <c r="G222" s="23">
        <v>41233</v>
      </c>
      <c r="H222" s="22">
        <v>493.5258</v>
      </c>
      <c r="I222">
        <f t="shared" si="6"/>
        <v>3.5699601155174676E-3</v>
      </c>
      <c r="J222" s="23">
        <v>41233</v>
      </c>
      <c r="K222" s="22">
        <v>676.28030000000001</v>
      </c>
      <c r="L222">
        <f t="shared" si="6"/>
        <v>6.0925196428307515E-5</v>
      </c>
      <c r="M222" s="23">
        <v>41219</v>
      </c>
      <c r="N222" s="22">
        <v>779.92780000000005</v>
      </c>
      <c r="O222">
        <f t="shared" si="7"/>
        <v>6.9237657489562565E-6</v>
      </c>
    </row>
    <row r="223" spans="7:15" x14ac:dyDescent="0.25">
      <c r="G223" s="23">
        <v>41234</v>
      </c>
      <c r="H223" s="22">
        <v>493.53500000000003</v>
      </c>
      <c r="I223">
        <f t="shared" si="6"/>
        <v>1.8641375993055931E-5</v>
      </c>
      <c r="J223" s="23">
        <v>41234</v>
      </c>
      <c r="K223" s="22">
        <v>676.26800000000003</v>
      </c>
      <c r="L223">
        <f t="shared" si="6"/>
        <v>-1.8187724823537366E-5</v>
      </c>
      <c r="M223" s="23">
        <v>41220</v>
      </c>
      <c r="N223" s="22">
        <v>779.85829999999999</v>
      </c>
      <c r="O223">
        <f t="shared" si="7"/>
        <v>-8.9110812565018627E-5</v>
      </c>
    </row>
    <row r="224" spans="7:15" x14ac:dyDescent="0.25">
      <c r="G224" s="23">
        <v>41236</v>
      </c>
      <c r="H224" s="22">
        <v>493.5487</v>
      </c>
      <c r="I224">
        <f t="shared" si="6"/>
        <v>2.7758922872767045E-5</v>
      </c>
      <c r="J224" s="23">
        <v>41236</v>
      </c>
      <c r="K224" s="22">
        <v>676.32230000000004</v>
      </c>
      <c r="L224">
        <f t="shared" si="6"/>
        <v>8.0293611408599475E-5</v>
      </c>
      <c r="M224" s="23">
        <v>41221</v>
      </c>
      <c r="N224" s="22">
        <v>779.97239999999999</v>
      </c>
      <c r="O224">
        <f t="shared" si="7"/>
        <v>1.4630863068321176E-4</v>
      </c>
    </row>
    <row r="225" spans="7:15" x14ac:dyDescent="0.25">
      <c r="G225" s="23">
        <v>41239</v>
      </c>
      <c r="H225" s="22">
        <v>494.6601</v>
      </c>
      <c r="I225">
        <f t="shared" si="6"/>
        <v>2.2518547815038037E-3</v>
      </c>
      <c r="J225" s="23">
        <v>41239</v>
      </c>
      <c r="K225" s="22">
        <v>676.29909999999995</v>
      </c>
      <c r="L225">
        <f t="shared" si="6"/>
        <v>-3.4303171727589898E-5</v>
      </c>
      <c r="M225" s="23">
        <v>41222</v>
      </c>
      <c r="N225" s="22">
        <v>780.36339999999996</v>
      </c>
      <c r="O225">
        <f t="shared" si="7"/>
        <v>5.0129978958235455E-4</v>
      </c>
    </row>
    <row r="226" spans="7:15" x14ac:dyDescent="0.25">
      <c r="G226" s="23">
        <v>41240</v>
      </c>
      <c r="H226" s="22">
        <v>493.4984</v>
      </c>
      <c r="I226">
        <f t="shared" si="6"/>
        <v>-2.3484813107019775E-3</v>
      </c>
      <c r="J226" s="23">
        <v>41240</v>
      </c>
      <c r="K226" s="22">
        <v>676.25429999999994</v>
      </c>
      <c r="L226">
        <f t="shared" si="6"/>
        <v>-6.6242879814604194E-5</v>
      </c>
      <c r="M226" s="23">
        <v>41225</v>
      </c>
      <c r="N226" s="22">
        <v>780.36339999999996</v>
      </c>
      <c r="O226">
        <f t="shared" si="7"/>
        <v>0</v>
      </c>
    </row>
    <row r="227" spans="7:15" x14ac:dyDescent="0.25">
      <c r="G227" s="23">
        <v>41241</v>
      </c>
      <c r="H227" s="22">
        <v>493.85309999999998</v>
      </c>
      <c r="I227">
        <f t="shared" si="6"/>
        <v>7.1874599796073468E-4</v>
      </c>
      <c r="J227" s="23">
        <v>41241</v>
      </c>
      <c r="K227" s="22">
        <v>676.40380000000005</v>
      </c>
      <c r="L227">
        <f t="shared" si="6"/>
        <v>2.2107068302568145E-4</v>
      </c>
      <c r="M227" s="23">
        <v>41226</v>
      </c>
      <c r="N227" s="22">
        <v>780.46469999999999</v>
      </c>
      <c r="O227">
        <f t="shared" si="7"/>
        <v>1.2981131611256025E-4</v>
      </c>
    </row>
    <row r="228" spans="7:15" x14ac:dyDescent="0.25">
      <c r="G228" s="23">
        <v>41242</v>
      </c>
      <c r="H228" s="22">
        <v>493.8528</v>
      </c>
      <c r="I228">
        <f t="shared" si="6"/>
        <v>-6.0746809116274392E-7</v>
      </c>
      <c r="J228" s="23">
        <v>41242</v>
      </c>
      <c r="K228" s="22">
        <v>676.4067</v>
      </c>
      <c r="L228">
        <f t="shared" si="6"/>
        <v>4.2873798165032895E-6</v>
      </c>
      <c r="M228" s="23">
        <v>41227</v>
      </c>
      <c r="N228" s="22">
        <v>780.35889999999995</v>
      </c>
      <c r="O228">
        <f t="shared" si="7"/>
        <v>-1.3556026300742818E-4</v>
      </c>
    </row>
    <row r="229" spans="7:15" x14ac:dyDescent="0.25">
      <c r="G229" s="23">
        <v>41243</v>
      </c>
      <c r="H229" s="22">
        <v>496.73880000000003</v>
      </c>
      <c r="I229">
        <f t="shared" si="6"/>
        <v>5.8438465874852685E-3</v>
      </c>
      <c r="J229" s="23">
        <v>41243</v>
      </c>
      <c r="K229" s="22">
        <v>680.11879999999996</v>
      </c>
      <c r="L229">
        <f t="shared" si="6"/>
        <v>5.4879704769335014E-3</v>
      </c>
      <c r="M229" s="23">
        <v>41228</v>
      </c>
      <c r="N229" s="22">
        <v>779.59529999999995</v>
      </c>
      <c r="O229">
        <f t="shared" si="7"/>
        <v>-9.7852411243082305E-4</v>
      </c>
    </row>
    <row r="230" spans="7:15" x14ac:dyDescent="0.25">
      <c r="G230" s="23">
        <v>41246</v>
      </c>
      <c r="H230" s="22">
        <v>496.74009999999998</v>
      </c>
      <c r="I230">
        <f t="shared" si="6"/>
        <v>2.6170695746063899E-6</v>
      </c>
      <c r="J230" s="23">
        <v>41246</v>
      </c>
      <c r="K230" s="22">
        <v>680.12080000000003</v>
      </c>
      <c r="L230">
        <f t="shared" si="6"/>
        <v>2.9406627195527335E-6</v>
      </c>
      <c r="M230" s="23">
        <v>41229</v>
      </c>
      <c r="N230" s="22">
        <v>779.60270000000003</v>
      </c>
      <c r="O230">
        <f t="shared" si="7"/>
        <v>9.4921044291318424E-6</v>
      </c>
    </row>
    <row r="231" spans="7:15" x14ac:dyDescent="0.25">
      <c r="G231" s="23">
        <v>41247</v>
      </c>
      <c r="H231" s="22">
        <v>496.75959999999998</v>
      </c>
      <c r="I231">
        <f t="shared" si="6"/>
        <v>3.9255940883275997E-5</v>
      </c>
      <c r="J231" s="23">
        <v>41247</v>
      </c>
      <c r="K231" s="22">
        <v>680.12279999999998</v>
      </c>
      <c r="L231">
        <f t="shared" si="6"/>
        <v>2.9406540720255947E-6</v>
      </c>
      <c r="M231" s="23">
        <v>41232</v>
      </c>
      <c r="N231" s="22">
        <v>779.59690000000001</v>
      </c>
      <c r="O231">
        <f t="shared" si="7"/>
        <v>-7.4396869071957639E-6</v>
      </c>
    </row>
    <row r="232" spans="7:15" x14ac:dyDescent="0.25">
      <c r="G232" s="23">
        <v>41248</v>
      </c>
      <c r="H232" s="22">
        <v>497.18799999999999</v>
      </c>
      <c r="I232">
        <f t="shared" si="6"/>
        <v>8.6238897043955376E-4</v>
      </c>
      <c r="J232" s="23">
        <v>41248</v>
      </c>
      <c r="K232" s="22">
        <v>680.12549999999999</v>
      </c>
      <c r="L232">
        <f t="shared" si="6"/>
        <v>3.9698713232283467E-6</v>
      </c>
      <c r="M232" s="23">
        <v>41233</v>
      </c>
      <c r="N232" s="22">
        <v>779.61900000000003</v>
      </c>
      <c r="O232">
        <f t="shared" si="7"/>
        <v>2.8347983425769385E-5</v>
      </c>
    </row>
    <row r="233" spans="7:15" x14ac:dyDescent="0.25">
      <c r="G233" s="23">
        <v>41249</v>
      </c>
      <c r="H233" s="22">
        <v>497.18900000000002</v>
      </c>
      <c r="I233">
        <f t="shared" si="6"/>
        <v>2.0113116165898504E-6</v>
      </c>
      <c r="J233" s="23">
        <v>41249</v>
      </c>
      <c r="K233" s="22">
        <v>680.12810000000002</v>
      </c>
      <c r="L233">
        <f t="shared" si="6"/>
        <v>3.8228238758986066E-6</v>
      </c>
      <c r="M233" s="23">
        <v>41234</v>
      </c>
      <c r="N233" s="22">
        <v>779.8777</v>
      </c>
      <c r="O233">
        <f t="shared" si="7"/>
        <v>3.3182875224957442E-4</v>
      </c>
    </row>
    <row r="234" spans="7:15" x14ac:dyDescent="0.25">
      <c r="G234" s="23">
        <v>41250</v>
      </c>
      <c r="H234" s="22">
        <v>497.64769999999999</v>
      </c>
      <c r="I234">
        <f t="shared" si="6"/>
        <v>9.2258678289325324E-4</v>
      </c>
      <c r="J234" s="23">
        <v>41250</v>
      </c>
      <c r="K234" s="22">
        <v>681.49839999999995</v>
      </c>
      <c r="L234">
        <f t="shared" si="6"/>
        <v>2.0147675121788833E-3</v>
      </c>
      <c r="M234" s="23">
        <v>41235</v>
      </c>
      <c r="N234" s="22">
        <v>779.8777</v>
      </c>
      <c r="O234">
        <f t="shared" si="7"/>
        <v>0</v>
      </c>
    </row>
    <row r="235" spans="7:15" x14ac:dyDescent="0.25">
      <c r="G235" s="23">
        <v>41253</v>
      </c>
      <c r="H235" s="22">
        <v>472.60579999999999</v>
      </c>
      <c r="I235">
        <f t="shared" si="6"/>
        <v>-5.0320538003089332E-2</v>
      </c>
      <c r="J235" s="23">
        <v>41253</v>
      </c>
      <c r="K235" s="22">
        <v>682.1046</v>
      </c>
      <c r="L235">
        <f t="shared" si="6"/>
        <v>8.8951052563013278E-4</v>
      </c>
      <c r="M235" s="23">
        <v>41236</v>
      </c>
      <c r="N235" s="22">
        <v>779.88239999999996</v>
      </c>
      <c r="O235">
        <f t="shared" si="7"/>
        <v>6.0265859633812369E-6</v>
      </c>
    </row>
    <row r="236" spans="7:15" x14ac:dyDescent="0.25">
      <c r="G236" s="23">
        <v>41254</v>
      </c>
      <c r="H236" s="22">
        <v>472.91419999999999</v>
      </c>
      <c r="I236">
        <f t="shared" si="6"/>
        <v>6.5255229622662725E-4</v>
      </c>
      <c r="J236" s="23">
        <v>41254</v>
      </c>
      <c r="K236" s="22">
        <v>682.10720000000003</v>
      </c>
      <c r="L236">
        <f t="shared" si="6"/>
        <v>3.8117321008446226E-6</v>
      </c>
      <c r="M236" s="23">
        <v>41239</v>
      </c>
      <c r="N236" s="22">
        <v>779.88509999999997</v>
      </c>
      <c r="O236">
        <f t="shared" si="7"/>
        <v>3.4620604336677019E-6</v>
      </c>
    </row>
    <row r="237" spans="7:15" x14ac:dyDescent="0.25">
      <c r="G237" s="23">
        <v>41255</v>
      </c>
      <c r="H237" s="22">
        <v>473.10300000000001</v>
      </c>
      <c r="I237">
        <f t="shared" si="6"/>
        <v>3.992267519139503E-4</v>
      </c>
      <c r="J237" s="23">
        <v>41255</v>
      </c>
      <c r="K237" s="22">
        <v>682.10109999999997</v>
      </c>
      <c r="L237">
        <f t="shared" si="6"/>
        <v>-8.9428758413001574E-6</v>
      </c>
      <c r="M237" s="23">
        <v>41240</v>
      </c>
      <c r="N237" s="22">
        <v>779.88639999999998</v>
      </c>
      <c r="O237">
        <f t="shared" si="7"/>
        <v>1.6669122155921201E-6</v>
      </c>
    </row>
    <row r="238" spans="7:15" x14ac:dyDescent="0.25">
      <c r="G238" s="23">
        <v>41256</v>
      </c>
      <c r="H238" s="22">
        <v>473.10379999999998</v>
      </c>
      <c r="I238">
        <f t="shared" si="6"/>
        <v>1.6909637012840761E-6</v>
      </c>
      <c r="J238" s="23">
        <v>41256</v>
      </c>
      <c r="K238" s="22">
        <v>682.10059999999999</v>
      </c>
      <c r="L238">
        <f t="shared" si="6"/>
        <v>-7.3302916525630479E-7</v>
      </c>
      <c r="M238" s="23">
        <v>41241</v>
      </c>
      <c r="N238" s="22">
        <v>779.47050000000002</v>
      </c>
      <c r="O238">
        <f t="shared" si="7"/>
        <v>-5.3328279605846518E-4</v>
      </c>
    </row>
    <row r="239" spans="7:15" x14ac:dyDescent="0.25">
      <c r="G239" s="23">
        <v>41257</v>
      </c>
      <c r="H239" s="22">
        <v>473.10430000000002</v>
      </c>
      <c r="I239">
        <f t="shared" si="6"/>
        <v>1.056850526426345E-6</v>
      </c>
      <c r="J239" s="23">
        <v>41257</v>
      </c>
      <c r="K239" s="22">
        <v>682.09699999999998</v>
      </c>
      <c r="L239">
        <f t="shared" si="6"/>
        <v>-5.2778138591724755E-6</v>
      </c>
      <c r="M239" s="23">
        <v>41242</v>
      </c>
      <c r="N239" s="22">
        <v>779.47400000000005</v>
      </c>
      <c r="O239">
        <f t="shared" si="7"/>
        <v>4.4902276610248038E-6</v>
      </c>
    </row>
    <row r="240" spans="7:15" x14ac:dyDescent="0.25">
      <c r="G240" s="23">
        <v>41260</v>
      </c>
      <c r="H240" s="22">
        <v>473.10570000000001</v>
      </c>
      <c r="I240">
        <f t="shared" si="6"/>
        <v>2.9591783461402343E-6</v>
      </c>
      <c r="J240" s="23">
        <v>41260</v>
      </c>
      <c r="K240" s="22">
        <v>682.19110000000001</v>
      </c>
      <c r="L240">
        <f t="shared" si="6"/>
        <v>1.3795691815099431E-4</v>
      </c>
      <c r="M240" s="23">
        <v>41243</v>
      </c>
      <c r="N240" s="22">
        <v>838.74559999999997</v>
      </c>
      <c r="O240">
        <f t="shared" si="7"/>
        <v>7.6040509369138531E-2</v>
      </c>
    </row>
    <row r="241" spans="7:15" x14ac:dyDescent="0.25">
      <c r="G241" s="23">
        <v>41261</v>
      </c>
      <c r="H241" s="22">
        <v>473.10300000000001</v>
      </c>
      <c r="I241">
        <f t="shared" si="6"/>
        <v>-5.7069699224143733E-6</v>
      </c>
      <c r="J241" s="23">
        <v>41261</v>
      </c>
      <c r="K241" s="22">
        <v>682.05539999999996</v>
      </c>
      <c r="L241">
        <f t="shared" si="6"/>
        <v>-1.9891786920123167E-4</v>
      </c>
      <c r="M241" s="23">
        <v>41246</v>
      </c>
      <c r="N241" s="22">
        <v>838.75400000000002</v>
      </c>
      <c r="O241">
        <f t="shared" si="7"/>
        <v>1.0014955667214664E-5</v>
      </c>
    </row>
    <row r="242" spans="7:15" x14ac:dyDescent="0.25">
      <c r="G242" s="23">
        <v>41262</v>
      </c>
      <c r="H242" s="22">
        <v>473.10509999999999</v>
      </c>
      <c r="I242">
        <f t="shared" si="6"/>
        <v>4.4387797160094777E-6</v>
      </c>
      <c r="J242" s="23">
        <v>41262</v>
      </c>
      <c r="K242" s="22">
        <v>682.05759999999998</v>
      </c>
      <c r="L242">
        <f t="shared" si="6"/>
        <v>3.2255444353257445E-6</v>
      </c>
      <c r="M242" s="23">
        <v>41247</v>
      </c>
      <c r="N242" s="22">
        <v>838.77980000000002</v>
      </c>
      <c r="O242">
        <f t="shared" si="7"/>
        <v>3.0759912918343346E-5</v>
      </c>
    </row>
    <row r="243" spans="7:15" x14ac:dyDescent="0.25">
      <c r="G243" s="23">
        <v>41263</v>
      </c>
      <c r="H243" s="22">
        <v>473.35680000000002</v>
      </c>
      <c r="I243">
        <f t="shared" si="6"/>
        <v>5.3201709303074551E-4</v>
      </c>
      <c r="J243" s="23">
        <v>41263</v>
      </c>
      <c r="K243" s="22">
        <v>681.63660000000004</v>
      </c>
      <c r="L243">
        <f t="shared" si="6"/>
        <v>-6.1724992141420909E-4</v>
      </c>
      <c r="M243" s="23">
        <v>41248</v>
      </c>
      <c r="N243" s="22">
        <v>838.79250000000002</v>
      </c>
      <c r="O243">
        <f t="shared" si="7"/>
        <v>1.514104178479414E-5</v>
      </c>
    </row>
    <row r="244" spans="7:15" x14ac:dyDescent="0.25">
      <c r="G244" s="23">
        <v>41264</v>
      </c>
      <c r="H244" s="22">
        <v>473.35590000000002</v>
      </c>
      <c r="I244">
        <f t="shared" si="6"/>
        <v>-1.9013141884238749E-6</v>
      </c>
      <c r="J244" s="23">
        <v>41264</v>
      </c>
      <c r="K244" s="22">
        <v>681.62940000000003</v>
      </c>
      <c r="L244">
        <f t="shared" si="6"/>
        <v>-1.0562813088421663E-5</v>
      </c>
      <c r="M244" s="23">
        <v>41249</v>
      </c>
      <c r="N244" s="22">
        <v>838.80330000000004</v>
      </c>
      <c r="O244">
        <f t="shared" si="7"/>
        <v>1.287565160645876E-5</v>
      </c>
    </row>
    <row r="245" spans="7:15" x14ac:dyDescent="0.25">
      <c r="G245" s="23">
        <v>41267</v>
      </c>
      <c r="H245" s="22">
        <v>473.35599999999999</v>
      </c>
      <c r="I245">
        <f t="shared" si="6"/>
        <v>2.1125753368878009E-7</v>
      </c>
      <c r="J245" s="23">
        <v>41267</v>
      </c>
      <c r="K245" s="22">
        <v>681.63289999999995</v>
      </c>
      <c r="L245">
        <f t="shared" si="6"/>
        <v>5.1347550442670808E-6</v>
      </c>
      <c r="M245" s="23">
        <v>41250</v>
      </c>
      <c r="N245" s="22">
        <v>838.79020000000003</v>
      </c>
      <c r="O245">
        <f t="shared" si="7"/>
        <v>-1.5617487437169508E-5</v>
      </c>
    </row>
    <row r="246" spans="7:15" x14ac:dyDescent="0.25">
      <c r="G246" s="23">
        <v>41269</v>
      </c>
      <c r="H246" s="22">
        <v>473.35759999999999</v>
      </c>
      <c r="I246">
        <f t="shared" si="6"/>
        <v>3.3801198251470765E-6</v>
      </c>
      <c r="J246" s="23">
        <v>41269</v>
      </c>
      <c r="K246" s="22">
        <v>681.63530000000003</v>
      </c>
      <c r="L246">
        <f t="shared" si="6"/>
        <v>3.5209568083338638E-6</v>
      </c>
      <c r="M246" s="23">
        <v>41253</v>
      </c>
      <c r="N246" s="22">
        <v>838.79750000000001</v>
      </c>
      <c r="O246">
        <f t="shared" si="7"/>
        <v>8.7030105979657435E-6</v>
      </c>
    </row>
    <row r="247" spans="7:15" x14ac:dyDescent="0.25">
      <c r="G247" s="23">
        <v>41270</v>
      </c>
      <c r="H247" s="22">
        <v>473.36930000000001</v>
      </c>
      <c r="I247">
        <f t="shared" si="6"/>
        <v>2.4717042675703738E-5</v>
      </c>
      <c r="J247" s="23">
        <v>41270</v>
      </c>
      <c r="K247" s="22">
        <v>681.64020000000005</v>
      </c>
      <c r="L247">
        <f t="shared" si="6"/>
        <v>7.1885948396133159E-6</v>
      </c>
      <c r="M247" s="23">
        <v>41254</v>
      </c>
      <c r="N247" s="22">
        <v>838.62519999999995</v>
      </c>
      <c r="O247">
        <f t="shared" si="7"/>
        <v>-2.054131062623199E-4</v>
      </c>
    </row>
    <row r="248" spans="7:15" x14ac:dyDescent="0.25">
      <c r="G248" s="23">
        <v>41271</v>
      </c>
      <c r="H248" s="22">
        <v>510.51310000000001</v>
      </c>
      <c r="I248">
        <f t="shared" si="6"/>
        <v>7.8466854525631513E-2</v>
      </c>
      <c r="J248" s="23">
        <v>41271</v>
      </c>
      <c r="K248" s="22">
        <v>713.67909999999995</v>
      </c>
      <c r="L248">
        <f t="shared" si="6"/>
        <v>4.7002656240051399E-2</v>
      </c>
      <c r="M248" s="23">
        <v>41255</v>
      </c>
      <c r="N248" s="22">
        <v>838.62919999999997</v>
      </c>
      <c r="O248">
        <f t="shared" si="7"/>
        <v>4.769711189345216E-6</v>
      </c>
    </row>
    <row r="249" spans="7:15" x14ac:dyDescent="0.25">
      <c r="G249" s="23">
        <v>41274</v>
      </c>
      <c r="H249" s="22">
        <v>509.76729999999998</v>
      </c>
      <c r="I249">
        <f t="shared" si="6"/>
        <v>-1.4608831781203202E-3</v>
      </c>
      <c r="J249" s="23">
        <v>41274</v>
      </c>
      <c r="K249" s="22">
        <v>707.94910000000004</v>
      </c>
      <c r="L249">
        <f t="shared" si="6"/>
        <v>-8.0288185544453716E-3</v>
      </c>
      <c r="M249" s="23">
        <v>41256</v>
      </c>
      <c r="N249" s="22">
        <v>838.62869999999998</v>
      </c>
      <c r="O249">
        <f t="shared" si="7"/>
        <v>-5.9621105485963E-7</v>
      </c>
    </row>
    <row r="250" spans="7:15" x14ac:dyDescent="0.25">
      <c r="G250" s="23">
        <v>41276</v>
      </c>
      <c r="H250" s="22">
        <v>509.77229999999997</v>
      </c>
      <c r="I250">
        <f t="shared" si="6"/>
        <v>9.8083968900208873E-6</v>
      </c>
      <c r="J250" s="23">
        <v>41276</v>
      </c>
      <c r="K250" s="22">
        <v>708.12400000000002</v>
      </c>
      <c r="L250">
        <f t="shared" si="6"/>
        <v>2.4705165950478225E-4</v>
      </c>
      <c r="M250" s="23">
        <v>41257</v>
      </c>
      <c r="N250" s="22">
        <v>838.77300000000002</v>
      </c>
      <c r="O250">
        <f t="shared" si="7"/>
        <v>1.7206661303159621E-4</v>
      </c>
    </row>
    <row r="251" spans="7:15" x14ac:dyDescent="0.25">
      <c r="G251" s="23">
        <v>41277</v>
      </c>
      <c r="H251" s="22">
        <v>509.7192</v>
      </c>
      <c r="I251">
        <f t="shared" si="6"/>
        <v>-1.041641532895099E-4</v>
      </c>
      <c r="J251" s="23">
        <v>41277</v>
      </c>
      <c r="K251" s="22">
        <v>708.1146</v>
      </c>
      <c r="L251">
        <f t="shared" si="6"/>
        <v>-1.3274511243888121E-5</v>
      </c>
      <c r="M251" s="23">
        <v>41260</v>
      </c>
      <c r="N251" s="22">
        <v>838.78139999999996</v>
      </c>
      <c r="O251">
        <f t="shared" si="7"/>
        <v>1.0014628510912615E-5</v>
      </c>
    </row>
    <row r="252" spans="7:15" x14ac:dyDescent="0.25">
      <c r="G252" s="23">
        <v>41278</v>
      </c>
      <c r="H252" s="22">
        <v>509.7183</v>
      </c>
      <c r="I252">
        <f t="shared" si="6"/>
        <v>-1.7656780438857211E-6</v>
      </c>
      <c r="J252" s="23">
        <v>41278</v>
      </c>
      <c r="K252" s="22">
        <v>708.10829999999999</v>
      </c>
      <c r="L252">
        <f t="shared" si="6"/>
        <v>-8.8968649989418225E-6</v>
      </c>
      <c r="M252" s="23">
        <v>41261</v>
      </c>
      <c r="N252" s="22">
        <v>838.73230000000001</v>
      </c>
      <c r="O252">
        <f t="shared" si="7"/>
        <v>-5.8537301852346069E-5</v>
      </c>
    </row>
    <row r="253" spans="7:15" x14ac:dyDescent="0.25">
      <c r="G253" s="23">
        <v>41281</v>
      </c>
      <c r="H253" s="22">
        <v>509.72210000000001</v>
      </c>
      <c r="I253">
        <f t="shared" si="6"/>
        <v>7.4550982376297981E-6</v>
      </c>
      <c r="J253" s="23">
        <v>41281</v>
      </c>
      <c r="K253" s="22">
        <v>708.11130000000003</v>
      </c>
      <c r="L253">
        <f t="shared" si="6"/>
        <v>4.2366400734294984E-6</v>
      </c>
      <c r="M253" s="23">
        <v>41262</v>
      </c>
      <c r="N253" s="22">
        <v>838.72249999999997</v>
      </c>
      <c r="O253">
        <f t="shared" si="7"/>
        <v>-1.1684300223135935E-5</v>
      </c>
    </row>
    <row r="254" spans="7:15" x14ac:dyDescent="0.25">
      <c r="G254" s="23">
        <v>41282</v>
      </c>
      <c r="H254" s="22">
        <v>509.85129999999998</v>
      </c>
      <c r="I254">
        <f t="shared" si="6"/>
        <v>2.5347145042364794E-4</v>
      </c>
      <c r="J254" s="23">
        <v>41282</v>
      </c>
      <c r="K254" s="22">
        <v>708.37950000000001</v>
      </c>
      <c r="L254">
        <f t="shared" si="6"/>
        <v>3.7875401790654628E-4</v>
      </c>
      <c r="M254" s="23">
        <v>41263</v>
      </c>
      <c r="N254" s="22">
        <v>838.73900000000003</v>
      </c>
      <c r="O254">
        <f t="shared" si="7"/>
        <v>1.9672776156776095E-5</v>
      </c>
    </row>
    <row r="255" spans="7:15" x14ac:dyDescent="0.25">
      <c r="G255" s="23">
        <v>41283</v>
      </c>
      <c r="H255" s="22">
        <v>504.2278</v>
      </c>
      <c r="I255">
        <f t="shared" si="6"/>
        <v>-1.1029686498788882E-2</v>
      </c>
      <c r="J255" s="23">
        <v>41283</v>
      </c>
      <c r="K255" s="22">
        <v>702.52700000000004</v>
      </c>
      <c r="L255">
        <f t="shared" si="6"/>
        <v>-8.2618144652689685E-3</v>
      </c>
      <c r="M255" s="23">
        <v>41264</v>
      </c>
      <c r="N255" s="22">
        <v>838.73829999999998</v>
      </c>
      <c r="O255">
        <f t="shared" si="7"/>
        <v>-8.3458620625531665E-7</v>
      </c>
    </row>
    <row r="256" spans="7:15" x14ac:dyDescent="0.25">
      <c r="G256" s="23">
        <v>41284</v>
      </c>
      <c r="H256" s="22">
        <v>504.23570000000001</v>
      </c>
      <c r="I256">
        <f t="shared" si="6"/>
        <v>1.5667521703566223E-5</v>
      </c>
      <c r="J256" s="23">
        <v>41284</v>
      </c>
      <c r="K256" s="22">
        <v>700.89639999999997</v>
      </c>
      <c r="L256">
        <f t="shared" si="6"/>
        <v>-2.3210495824360633E-3</v>
      </c>
      <c r="M256" s="23">
        <v>41267</v>
      </c>
      <c r="N256" s="22">
        <v>838.74599999999998</v>
      </c>
      <c r="O256">
        <f t="shared" si="7"/>
        <v>9.1804559301245092E-6</v>
      </c>
    </row>
    <row r="257" spans="7:15" x14ac:dyDescent="0.25">
      <c r="G257" s="23">
        <v>41285</v>
      </c>
      <c r="H257" s="22">
        <v>503.16410000000002</v>
      </c>
      <c r="I257">
        <f t="shared" si="6"/>
        <v>-2.1251966094427699E-3</v>
      </c>
      <c r="J257" s="23">
        <v>41285</v>
      </c>
      <c r="K257" s="22">
        <v>698.95809999999994</v>
      </c>
      <c r="L257">
        <f t="shared" si="6"/>
        <v>-2.765458632688067E-3</v>
      </c>
      <c r="M257" s="23">
        <v>41268</v>
      </c>
      <c r="N257" s="22">
        <v>838.74599999999998</v>
      </c>
      <c r="O257">
        <f t="shared" si="7"/>
        <v>0</v>
      </c>
    </row>
    <row r="258" spans="7:15" x14ac:dyDescent="0.25">
      <c r="G258" s="23">
        <v>41288</v>
      </c>
      <c r="H258" s="22">
        <v>503.19630000000001</v>
      </c>
      <c r="I258">
        <f t="shared" si="6"/>
        <v>6.3995026672092337E-5</v>
      </c>
      <c r="J258" s="23">
        <v>41288</v>
      </c>
      <c r="K258" s="22">
        <v>698.70240000000001</v>
      </c>
      <c r="L258">
        <f t="shared" si="6"/>
        <v>-3.6583022644698371E-4</v>
      </c>
      <c r="M258" s="23">
        <v>41269</v>
      </c>
      <c r="N258" s="22">
        <v>838.78420000000006</v>
      </c>
      <c r="O258">
        <f t="shared" si="7"/>
        <v>4.5544181432877195E-5</v>
      </c>
    </row>
    <row r="259" spans="7:15" x14ac:dyDescent="0.25">
      <c r="G259" s="23">
        <v>41289</v>
      </c>
      <c r="H259" s="22">
        <v>503.17110000000002</v>
      </c>
      <c r="I259">
        <f t="shared" si="6"/>
        <v>-5.0079859490237411E-5</v>
      </c>
      <c r="J259" s="23">
        <v>41289</v>
      </c>
      <c r="K259" s="22">
        <v>698.66139999999996</v>
      </c>
      <c r="L259">
        <f t="shared" si="6"/>
        <v>-5.8680204905625644E-5</v>
      </c>
      <c r="M259" s="23">
        <v>41270</v>
      </c>
      <c r="N259" s="22">
        <v>838.79899999999998</v>
      </c>
      <c r="O259">
        <f t="shared" si="7"/>
        <v>1.7644586056686506E-5</v>
      </c>
    </row>
    <row r="260" spans="7:15" x14ac:dyDescent="0.25">
      <c r="G260" s="23">
        <v>41290</v>
      </c>
      <c r="H260" s="22">
        <v>475.77109999999999</v>
      </c>
      <c r="I260">
        <f t="shared" ref="I260:L323" si="8">H260/H259-1</f>
        <v>-5.4454637796169214E-2</v>
      </c>
      <c r="J260" s="23">
        <v>41290</v>
      </c>
      <c r="K260" s="22">
        <v>646.60109999999997</v>
      </c>
      <c r="L260">
        <f t="shared" si="8"/>
        <v>-7.4514349869622132E-2</v>
      </c>
      <c r="M260" s="23">
        <v>41271</v>
      </c>
      <c r="N260" s="22">
        <v>889.1558</v>
      </c>
      <c r="O260">
        <f t="shared" ref="O260:O323" si="9">N260/N259-1</f>
        <v>6.003440633572521E-2</v>
      </c>
    </row>
    <row r="261" spans="7:15" x14ac:dyDescent="0.25">
      <c r="G261" s="23">
        <v>41291</v>
      </c>
      <c r="H261" s="22">
        <v>448.70209999999997</v>
      </c>
      <c r="I261">
        <f t="shared" si="8"/>
        <v>-5.6895006863594721E-2</v>
      </c>
      <c r="J261" s="23">
        <v>41291</v>
      </c>
      <c r="K261" s="22">
        <v>637.95699999999999</v>
      </c>
      <c r="L261">
        <f t="shared" si="8"/>
        <v>-1.3368520406166873E-2</v>
      </c>
      <c r="M261" s="23">
        <v>41274</v>
      </c>
      <c r="N261" s="22">
        <v>857.74350000000004</v>
      </c>
      <c r="O261">
        <f t="shared" si="9"/>
        <v>-3.532822931594215E-2</v>
      </c>
    </row>
    <row r="262" spans="7:15" x14ac:dyDescent="0.25">
      <c r="G262" s="23">
        <v>41292</v>
      </c>
      <c r="H262" s="22">
        <v>448.709</v>
      </c>
      <c r="I262">
        <f t="shared" si="8"/>
        <v>1.5377685997020052E-5</v>
      </c>
      <c r="J262" s="23">
        <v>41292</v>
      </c>
      <c r="K262" s="22">
        <v>637.79660000000001</v>
      </c>
      <c r="L262">
        <f t="shared" si="8"/>
        <v>-2.5142760405483244E-4</v>
      </c>
      <c r="M262" s="23">
        <v>41275</v>
      </c>
      <c r="N262" s="22">
        <v>857.74350000000004</v>
      </c>
      <c r="O262">
        <f t="shared" si="9"/>
        <v>0</v>
      </c>
    </row>
    <row r="263" spans="7:15" x14ac:dyDescent="0.25">
      <c r="G263" s="23">
        <v>41296</v>
      </c>
      <c r="H263" s="22">
        <v>448.68729999999999</v>
      </c>
      <c r="I263">
        <f t="shared" si="8"/>
        <v>-4.8360964455818056E-5</v>
      </c>
      <c r="J263" s="23">
        <v>41296</v>
      </c>
      <c r="K263" s="22">
        <v>637.82659999999998</v>
      </c>
      <c r="L263">
        <f t="shared" si="8"/>
        <v>4.703693936281006E-5</v>
      </c>
      <c r="M263" s="23">
        <v>41276</v>
      </c>
      <c r="N263" s="22">
        <v>857.74300000000005</v>
      </c>
      <c r="O263">
        <f t="shared" si="9"/>
        <v>-5.8292484872435324E-7</v>
      </c>
    </row>
    <row r="264" spans="7:15" x14ac:dyDescent="0.25">
      <c r="G264" s="23">
        <v>41297</v>
      </c>
      <c r="H264" s="22">
        <v>416.19929999999999</v>
      </c>
      <c r="I264">
        <f t="shared" si="8"/>
        <v>-7.2406774160980292E-2</v>
      </c>
      <c r="J264" s="23">
        <v>41297</v>
      </c>
      <c r="K264" s="22">
        <v>594.16279999999995</v>
      </c>
      <c r="L264">
        <f t="shared" si="8"/>
        <v>-6.8457163749520711E-2</v>
      </c>
      <c r="M264" s="23">
        <v>41277</v>
      </c>
      <c r="N264" s="22">
        <v>857.74969999999996</v>
      </c>
      <c r="O264">
        <f t="shared" si="9"/>
        <v>7.8111975263528421E-6</v>
      </c>
    </row>
    <row r="265" spans="7:15" x14ac:dyDescent="0.25">
      <c r="G265" s="23">
        <v>41298</v>
      </c>
      <c r="H265" s="22">
        <v>414.75069999999999</v>
      </c>
      <c r="I265">
        <f t="shared" si="8"/>
        <v>-3.4805440566574308E-3</v>
      </c>
      <c r="J265" s="23">
        <v>41298</v>
      </c>
      <c r="K265" s="22">
        <v>595.00369999999998</v>
      </c>
      <c r="L265">
        <f t="shared" si="8"/>
        <v>1.4152686772044287E-3</v>
      </c>
      <c r="M265" s="23">
        <v>41278</v>
      </c>
      <c r="N265" s="22">
        <v>857.77170000000001</v>
      </c>
      <c r="O265">
        <f t="shared" si="9"/>
        <v>2.564850795061524E-5</v>
      </c>
    </row>
    <row r="266" spans="7:15" x14ac:dyDescent="0.25">
      <c r="G266" s="23">
        <v>41299</v>
      </c>
      <c r="H266" s="22">
        <v>415.65710000000001</v>
      </c>
      <c r="I266">
        <f t="shared" si="8"/>
        <v>2.1854092108826162E-3</v>
      </c>
      <c r="J266" s="23">
        <v>41299</v>
      </c>
      <c r="K266" s="22">
        <v>596.56830000000002</v>
      </c>
      <c r="L266">
        <f t="shared" si="8"/>
        <v>2.6295634800255208E-3</v>
      </c>
      <c r="M266" s="23">
        <v>41281</v>
      </c>
      <c r="N266" s="22">
        <v>857.77809999999999</v>
      </c>
      <c r="O266">
        <f t="shared" si="9"/>
        <v>7.4611927625145569E-6</v>
      </c>
    </row>
    <row r="267" spans="7:15" x14ac:dyDescent="0.25">
      <c r="G267" s="23">
        <v>41302</v>
      </c>
      <c r="H267" s="22">
        <v>415.6585</v>
      </c>
      <c r="I267">
        <f t="shared" si="8"/>
        <v>3.3681609190594486E-6</v>
      </c>
      <c r="J267" s="23">
        <v>41302</v>
      </c>
      <c r="K267" s="22">
        <v>596.56100000000004</v>
      </c>
      <c r="L267">
        <f t="shared" si="8"/>
        <v>-1.2236654210351361E-5</v>
      </c>
      <c r="M267" s="23">
        <v>41282</v>
      </c>
      <c r="N267" s="22">
        <v>857.78210000000001</v>
      </c>
      <c r="O267">
        <f t="shared" si="9"/>
        <v>4.6632106835975407E-6</v>
      </c>
    </row>
    <row r="268" spans="7:15" x14ac:dyDescent="0.25">
      <c r="G268" s="23">
        <v>41303</v>
      </c>
      <c r="H268" s="22">
        <v>417.91739999999999</v>
      </c>
      <c r="I268">
        <f t="shared" si="8"/>
        <v>5.4345093387961896E-3</v>
      </c>
      <c r="J268" s="23">
        <v>41303</v>
      </c>
      <c r="K268" s="22">
        <v>597.46</v>
      </c>
      <c r="L268">
        <f t="shared" si="8"/>
        <v>1.5069707875641214E-3</v>
      </c>
      <c r="M268" s="23">
        <v>41283</v>
      </c>
      <c r="N268" s="22">
        <v>853.36320000000001</v>
      </c>
      <c r="O268">
        <f t="shared" si="9"/>
        <v>-5.1515413996164883E-3</v>
      </c>
    </row>
    <row r="269" spans="7:15" x14ac:dyDescent="0.25">
      <c r="G269" s="23">
        <v>41304</v>
      </c>
      <c r="H269" s="22">
        <v>417.72550000000001</v>
      </c>
      <c r="I269">
        <f t="shared" si="8"/>
        <v>-4.5918164689950913E-4</v>
      </c>
      <c r="J269" s="23">
        <v>41304</v>
      </c>
      <c r="K269" s="22">
        <v>597.47</v>
      </c>
      <c r="L269">
        <f t="shared" si="8"/>
        <v>1.6737522177123765E-5</v>
      </c>
      <c r="M269" s="23">
        <v>41284</v>
      </c>
      <c r="N269" s="22">
        <v>853.37580000000003</v>
      </c>
      <c r="O269">
        <f t="shared" si="9"/>
        <v>1.4765108221181933E-5</v>
      </c>
    </row>
    <row r="270" spans="7:15" x14ac:dyDescent="0.25">
      <c r="G270" s="23">
        <v>41305</v>
      </c>
      <c r="H270" s="22">
        <v>419.50420000000003</v>
      </c>
      <c r="I270">
        <f t="shared" si="8"/>
        <v>4.2580594194034926E-3</v>
      </c>
      <c r="J270" s="23">
        <v>41305</v>
      </c>
      <c r="K270" s="22">
        <v>598.10829999999999</v>
      </c>
      <c r="L270">
        <f t="shared" si="8"/>
        <v>1.0683381592380137E-3</v>
      </c>
      <c r="M270" s="23">
        <v>41285</v>
      </c>
      <c r="N270" s="22">
        <v>841.21770000000004</v>
      </c>
      <c r="O270">
        <f t="shared" si="9"/>
        <v>-1.4247064423434486E-2</v>
      </c>
    </row>
    <row r="271" spans="7:15" x14ac:dyDescent="0.25">
      <c r="G271" s="23">
        <v>41306</v>
      </c>
      <c r="H271" s="22">
        <v>419.47430000000003</v>
      </c>
      <c r="I271">
        <f t="shared" si="8"/>
        <v>-7.1274614175442785E-5</v>
      </c>
      <c r="J271" s="23">
        <v>41306</v>
      </c>
      <c r="K271" s="22">
        <v>598.1114</v>
      </c>
      <c r="L271">
        <f t="shared" si="8"/>
        <v>5.1830078264814006E-6</v>
      </c>
      <c r="M271" s="23">
        <v>41288</v>
      </c>
      <c r="N271" s="22">
        <v>841.27760000000001</v>
      </c>
      <c r="O271">
        <f t="shared" si="9"/>
        <v>7.1206300105153275E-5</v>
      </c>
    </row>
    <row r="272" spans="7:15" x14ac:dyDescent="0.25">
      <c r="G272" s="23">
        <v>41309</v>
      </c>
      <c r="H272" s="22">
        <v>419.24770000000001</v>
      </c>
      <c r="I272">
        <f t="shared" si="8"/>
        <v>-5.4019995980691959E-4</v>
      </c>
      <c r="J272" s="23">
        <v>41309</v>
      </c>
      <c r="K272" s="22">
        <v>598.44560000000001</v>
      </c>
      <c r="L272">
        <f t="shared" si="8"/>
        <v>5.5875878640665455E-4</v>
      </c>
      <c r="M272" s="23">
        <v>41289</v>
      </c>
      <c r="N272" s="22">
        <v>841.27919999999995</v>
      </c>
      <c r="O272">
        <f t="shared" si="9"/>
        <v>1.9018692520855751E-6</v>
      </c>
    </row>
    <row r="273" spans="7:15" x14ac:dyDescent="0.25">
      <c r="G273" s="23">
        <v>41310</v>
      </c>
      <c r="H273" s="22">
        <v>420.19850000000002</v>
      </c>
      <c r="I273">
        <f t="shared" si="8"/>
        <v>2.2678717140249827E-3</v>
      </c>
      <c r="J273" s="23">
        <v>41310</v>
      </c>
      <c r="K273" s="22">
        <v>599.68700000000001</v>
      </c>
      <c r="L273">
        <f t="shared" si="8"/>
        <v>2.0743740116060394E-3</v>
      </c>
      <c r="M273" s="23">
        <v>41290</v>
      </c>
      <c r="N273" s="22">
        <v>780.99</v>
      </c>
      <c r="O273">
        <f t="shared" si="9"/>
        <v>-7.1663723529596268E-2</v>
      </c>
    </row>
    <row r="274" spans="7:15" x14ac:dyDescent="0.25">
      <c r="G274" s="23">
        <v>41311</v>
      </c>
      <c r="H274" s="22">
        <v>420.20769999999999</v>
      </c>
      <c r="I274">
        <f t="shared" si="8"/>
        <v>2.1894414187428879E-5</v>
      </c>
      <c r="J274" s="23">
        <v>41311</v>
      </c>
      <c r="K274" s="22">
        <v>599.68740000000003</v>
      </c>
      <c r="L274">
        <f t="shared" si="8"/>
        <v>6.6701462597684724E-7</v>
      </c>
      <c r="M274" s="23">
        <v>41291</v>
      </c>
      <c r="N274" s="22">
        <v>774.5181</v>
      </c>
      <c r="O274">
        <f t="shared" si="9"/>
        <v>-8.2867898436599363E-3</v>
      </c>
    </row>
    <row r="275" spans="7:15" x14ac:dyDescent="0.25">
      <c r="G275" s="23">
        <v>41312</v>
      </c>
      <c r="H275" s="22">
        <v>420.41640000000001</v>
      </c>
      <c r="I275">
        <f t="shared" si="8"/>
        <v>4.9665915212893097E-4</v>
      </c>
      <c r="J275" s="23">
        <v>41312</v>
      </c>
      <c r="K275" s="22">
        <v>599.53589999999997</v>
      </c>
      <c r="L275">
        <f t="shared" si="8"/>
        <v>-2.5263162107469483E-4</v>
      </c>
      <c r="M275" s="23">
        <v>41292</v>
      </c>
      <c r="N275" s="22">
        <v>774.48940000000005</v>
      </c>
      <c r="O275">
        <f t="shared" si="9"/>
        <v>-3.7055299288657473E-5</v>
      </c>
    </row>
    <row r="276" spans="7:15" x14ac:dyDescent="0.25">
      <c r="G276" s="23">
        <v>41313</v>
      </c>
      <c r="H276" s="22">
        <v>398.57729999999998</v>
      </c>
      <c r="I276">
        <f t="shared" si="8"/>
        <v>-5.1946356041296271E-2</v>
      </c>
      <c r="J276" s="23">
        <v>41313</v>
      </c>
      <c r="K276" s="22">
        <v>594.49350000000004</v>
      </c>
      <c r="L276">
        <f t="shared" si="8"/>
        <v>-8.4105055260242922E-3</v>
      </c>
      <c r="M276" s="23">
        <v>41295</v>
      </c>
      <c r="N276" s="22">
        <v>774.48940000000005</v>
      </c>
      <c r="O276">
        <f t="shared" si="9"/>
        <v>0</v>
      </c>
    </row>
    <row r="277" spans="7:15" x14ac:dyDescent="0.25">
      <c r="G277" s="23">
        <v>41316</v>
      </c>
      <c r="H277" s="22">
        <v>398.58510000000001</v>
      </c>
      <c r="I277">
        <f t="shared" si="8"/>
        <v>1.9569604189806356E-5</v>
      </c>
      <c r="J277" s="23">
        <v>41316</v>
      </c>
      <c r="K277" s="22">
        <v>594.49469999999997</v>
      </c>
      <c r="L277">
        <f t="shared" si="8"/>
        <v>2.0185250131365962E-6</v>
      </c>
      <c r="M277" s="23">
        <v>41296</v>
      </c>
      <c r="N277" s="22">
        <v>774.35500000000002</v>
      </c>
      <c r="O277">
        <f t="shared" si="9"/>
        <v>-1.7353368554817727E-4</v>
      </c>
    </row>
    <row r="278" spans="7:15" x14ac:dyDescent="0.25">
      <c r="G278" s="23">
        <v>41317</v>
      </c>
      <c r="H278" s="22">
        <v>398.58580000000001</v>
      </c>
      <c r="I278">
        <f t="shared" si="8"/>
        <v>1.7562121614744797E-6</v>
      </c>
      <c r="J278" s="23">
        <v>41317</v>
      </c>
      <c r="K278" s="22">
        <v>594.49580000000003</v>
      </c>
      <c r="L278">
        <f t="shared" si="8"/>
        <v>1.8503108607514918E-6</v>
      </c>
      <c r="M278" s="23">
        <v>41297</v>
      </c>
      <c r="N278" s="22">
        <v>718.81100000000004</v>
      </c>
      <c r="O278">
        <f t="shared" si="9"/>
        <v>-7.1729374769969767E-2</v>
      </c>
    </row>
    <row r="279" spans="7:15" x14ac:dyDescent="0.25">
      <c r="G279" s="23">
        <v>41318</v>
      </c>
      <c r="H279" s="22">
        <v>398.59030000000001</v>
      </c>
      <c r="I279">
        <f t="shared" si="8"/>
        <v>1.1289915496259795E-5</v>
      </c>
      <c r="J279" s="23">
        <v>41318</v>
      </c>
      <c r="K279" s="22">
        <v>594.47609999999997</v>
      </c>
      <c r="L279">
        <f t="shared" si="8"/>
        <v>-3.3137324098930776E-5</v>
      </c>
      <c r="M279" s="23">
        <v>41298</v>
      </c>
      <c r="N279" s="22">
        <v>718.78729999999996</v>
      </c>
      <c r="O279">
        <f t="shared" si="9"/>
        <v>-3.2971114799384971E-5</v>
      </c>
    </row>
    <row r="280" spans="7:15" x14ac:dyDescent="0.25">
      <c r="G280" s="23">
        <v>41319</v>
      </c>
      <c r="H280" s="22">
        <v>398.61009999999999</v>
      </c>
      <c r="I280">
        <f t="shared" si="8"/>
        <v>4.9675067355980929E-5</v>
      </c>
      <c r="J280" s="23">
        <v>41319</v>
      </c>
      <c r="K280" s="22">
        <v>594.47760000000005</v>
      </c>
      <c r="L280">
        <f t="shared" si="8"/>
        <v>2.5232301181787875E-6</v>
      </c>
      <c r="M280" s="23">
        <v>41299</v>
      </c>
      <c r="N280" s="22">
        <v>718.78959999999995</v>
      </c>
      <c r="O280">
        <f t="shared" si="9"/>
        <v>3.1998339424799127E-6</v>
      </c>
    </row>
    <row r="281" spans="7:15" x14ac:dyDescent="0.25">
      <c r="G281" s="23">
        <v>41320</v>
      </c>
      <c r="H281" s="22">
        <v>398.61410000000001</v>
      </c>
      <c r="I281">
        <f t="shared" si="8"/>
        <v>1.0034868660024898E-5</v>
      </c>
      <c r="J281" s="23">
        <v>41320</v>
      </c>
      <c r="K281" s="22">
        <v>594.47770000000003</v>
      </c>
      <c r="L281">
        <f t="shared" si="8"/>
        <v>1.6821491666263455E-7</v>
      </c>
      <c r="M281" s="23">
        <v>41302</v>
      </c>
      <c r="N281" s="22">
        <v>718.79259999999999</v>
      </c>
      <c r="O281">
        <f t="shared" si="9"/>
        <v>4.1736830918015499E-6</v>
      </c>
    </row>
    <row r="282" spans="7:15" x14ac:dyDescent="0.25">
      <c r="G282" s="23">
        <v>41324</v>
      </c>
      <c r="H282" s="22">
        <v>398.72739999999999</v>
      </c>
      <c r="I282">
        <f t="shared" si="8"/>
        <v>2.8423480253203515E-4</v>
      </c>
      <c r="J282" s="23">
        <v>41324</v>
      </c>
      <c r="K282" s="22">
        <v>594.48019999999997</v>
      </c>
      <c r="L282">
        <f t="shared" si="8"/>
        <v>4.2053722115742431E-6</v>
      </c>
      <c r="M282" s="23">
        <v>41303</v>
      </c>
      <c r="N282" s="22">
        <v>724.14530000000002</v>
      </c>
      <c r="O282">
        <f t="shared" si="9"/>
        <v>7.4467934144006875E-3</v>
      </c>
    </row>
    <row r="283" spans="7:15" x14ac:dyDescent="0.25">
      <c r="G283" s="23">
        <v>41325</v>
      </c>
      <c r="H283" s="22">
        <v>398.81029999999998</v>
      </c>
      <c r="I283">
        <f t="shared" si="8"/>
        <v>2.0791147034282531E-4</v>
      </c>
      <c r="J283" s="23">
        <v>41325</v>
      </c>
      <c r="K283" s="22">
        <v>594.04380000000003</v>
      </c>
      <c r="L283">
        <f t="shared" si="8"/>
        <v>-7.340866861502704E-4</v>
      </c>
      <c r="M283" s="23">
        <v>41304</v>
      </c>
      <c r="N283" s="22">
        <v>724.11850000000004</v>
      </c>
      <c r="O283">
        <f t="shared" si="9"/>
        <v>-3.7009147197397674E-5</v>
      </c>
    </row>
    <row r="284" spans="7:15" x14ac:dyDescent="0.25">
      <c r="G284" s="23">
        <v>41326</v>
      </c>
      <c r="H284" s="22">
        <v>398.81380000000001</v>
      </c>
      <c r="I284">
        <f t="shared" si="8"/>
        <v>8.7761023224164347E-6</v>
      </c>
      <c r="J284" s="23">
        <v>41326</v>
      </c>
      <c r="K284" s="22">
        <v>593.21360000000004</v>
      </c>
      <c r="L284">
        <f t="shared" si="8"/>
        <v>-1.3975400467103327E-3</v>
      </c>
      <c r="M284" s="23">
        <v>41305</v>
      </c>
      <c r="N284" s="22">
        <v>720.96709999999996</v>
      </c>
      <c r="O284">
        <f t="shared" si="9"/>
        <v>-4.3520501133448297E-3</v>
      </c>
    </row>
    <row r="285" spans="7:15" x14ac:dyDescent="0.25">
      <c r="G285" s="23">
        <v>41327</v>
      </c>
      <c r="H285" s="22">
        <v>398.8211</v>
      </c>
      <c r="I285">
        <f t="shared" si="8"/>
        <v>1.8304281346193108E-5</v>
      </c>
      <c r="J285" s="23">
        <v>41327</v>
      </c>
      <c r="K285" s="22">
        <v>593.3202</v>
      </c>
      <c r="L285">
        <f t="shared" si="8"/>
        <v>1.7969918423976772E-4</v>
      </c>
      <c r="M285" s="23">
        <v>41306</v>
      </c>
      <c r="N285" s="22">
        <v>720.95479999999998</v>
      </c>
      <c r="O285">
        <f t="shared" si="9"/>
        <v>-1.7060417874747991E-5</v>
      </c>
    </row>
    <row r="286" spans="7:15" x14ac:dyDescent="0.25">
      <c r="G286" s="23">
        <v>41330</v>
      </c>
      <c r="H286" s="22">
        <v>390.72680000000003</v>
      </c>
      <c r="I286">
        <f t="shared" si="8"/>
        <v>-2.0295566107209395E-2</v>
      </c>
      <c r="J286" s="23">
        <v>41330</v>
      </c>
      <c r="K286" s="22">
        <v>593.19780000000003</v>
      </c>
      <c r="L286">
        <f t="shared" si="8"/>
        <v>-2.0629670117411347E-4</v>
      </c>
      <c r="M286" s="23">
        <v>41309</v>
      </c>
      <c r="N286" s="22">
        <v>720.95039999999995</v>
      </c>
      <c r="O286">
        <f t="shared" si="9"/>
        <v>-6.1030178314380734E-6</v>
      </c>
    </row>
    <row r="287" spans="7:15" x14ac:dyDescent="0.25">
      <c r="G287" s="23">
        <v>41331</v>
      </c>
      <c r="H287" s="22">
        <v>389.976</v>
      </c>
      <c r="I287">
        <f t="shared" si="8"/>
        <v>-1.9215472294197289E-3</v>
      </c>
      <c r="J287" s="23">
        <v>41331</v>
      </c>
      <c r="K287" s="22">
        <v>593.68029999999999</v>
      </c>
      <c r="L287">
        <f t="shared" si="8"/>
        <v>8.1338804695496592E-4</v>
      </c>
      <c r="M287" s="23">
        <v>41310</v>
      </c>
      <c r="N287" s="22">
        <v>720.96019999999999</v>
      </c>
      <c r="O287">
        <f t="shared" si="9"/>
        <v>1.3593168129322208E-5</v>
      </c>
    </row>
    <row r="288" spans="7:15" x14ac:dyDescent="0.25">
      <c r="G288" s="23">
        <v>41332</v>
      </c>
      <c r="H288" s="22">
        <v>400.06319999999999</v>
      </c>
      <c r="I288">
        <f t="shared" si="8"/>
        <v>2.5866207151209242E-2</v>
      </c>
      <c r="J288" s="23">
        <v>41332</v>
      </c>
      <c r="K288" s="22">
        <v>609.37019999999995</v>
      </c>
      <c r="L288">
        <f t="shared" si="8"/>
        <v>2.6428197128993469E-2</v>
      </c>
      <c r="M288" s="23">
        <v>41311</v>
      </c>
      <c r="N288" s="22">
        <v>720.86760000000004</v>
      </c>
      <c r="O288">
        <f t="shared" si="9"/>
        <v>-1.2843982233690099E-4</v>
      </c>
    </row>
    <row r="289" spans="7:15" x14ac:dyDescent="0.25">
      <c r="G289" s="23">
        <v>41333</v>
      </c>
      <c r="H289" s="22">
        <v>405.94540000000001</v>
      </c>
      <c r="I289">
        <f t="shared" si="8"/>
        <v>1.4703176898050119E-2</v>
      </c>
      <c r="J289" s="23">
        <v>41333</v>
      </c>
      <c r="K289" s="22">
        <v>611.81920000000002</v>
      </c>
      <c r="L289">
        <f t="shared" si="8"/>
        <v>4.0189034514652722E-3</v>
      </c>
      <c r="M289" s="23">
        <v>41312</v>
      </c>
      <c r="N289" s="22">
        <v>720.85829999999999</v>
      </c>
      <c r="O289">
        <f t="shared" si="9"/>
        <v>-1.2901120816199985E-5</v>
      </c>
    </row>
    <row r="290" spans="7:15" x14ac:dyDescent="0.25">
      <c r="G290" s="23">
        <v>41334</v>
      </c>
      <c r="H290" s="22">
        <v>405.9556</v>
      </c>
      <c r="I290">
        <f t="shared" si="8"/>
        <v>2.512653179476132E-5</v>
      </c>
      <c r="J290" s="23">
        <v>41334</v>
      </c>
      <c r="K290" s="22">
        <v>613.58249999999998</v>
      </c>
      <c r="L290">
        <f t="shared" si="8"/>
        <v>2.8820605826034296E-3</v>
      </c>
      <c r="M290" s="23">
        <v>41313</v>
      </c>
      <c r="N290" s="22">
        <v>714.8818</v>
      </c>
      <c r="O290">
        <f t="shared" si="9"/>
        <v>-8.2908111067042656E-3</v>
      </c>
    </row>
    <row r="291" spans="7:15" x14ac:dyDescent="0.25">
      <c r="G291" s="23">
        <v>41337</v>
      </c>
      <c r="H291" s="22">
        <v>406.01569999999998</v>
      </c>
      <c r="I291">
        <f t="shared" si="8"/>
        <v>1.4804574687476979E-4</v>
      </c>
      <c r="J291" s="23">
        <v>41337</v>
      </c>
      <c r="K291" s="22">
        <v>613.58389999999997</v>
      </c>
      <c r="L291">
        <f t="shared" si="8"/>
        <v>2.2816817624171648E-6</v>
      </c>
      <c r="M291" s="23">
        <v>41316</v>
      </c>
      <c r="N291" s="22">
        <v>714.96969999999999</v>
      </c>
      <c r="O291">
        <f t="shared" si="9"/>
        <v>1.2295738959910985E-4</v>
      </c>
    </row>
    <row r="292" spans="7:15" x14ac:dyDescent="0.25">
      <c r="G292" s="23">
        <v>41338</v>
      </c>
      <c r="H292" s="22">
        <v>410.18549999999999</v>
      </c>
      <c r="I292">
        <f t="shared" si="8"/>
        <v>1.027004620757288E-2</v>
      </c>
      <c r="J292" s="23">
        <v>41338</v>
      </c>
      <c r="K292" s="22">
        <v>614.96230000000003</v>
      </c>
      <c r="L292">
        <f t="shared" si="8"/>
        <v>2.2464735466496411E-3</v>
      </c>
      <c r="M292" s="23">
        <v>41317</v>
      </c>
      <c r="N292" s="22">
        <v>714.96450000000004</v>
      </c>
      <c r="O292">
        <f t="shared" si="9"/>
        <v>-7.2730354866434865E-6</v>
      </c>
    </row>
    <row r="293" spans="7:15" x14ac:dyDescent="0.25">
      <c r="G293" s="23">
        <v>41339</v>
      </c>
      <c r="H293" s="22">
        <v>405.42009999999999</v>
      </c>
      <c r="I293">
        <f t="shared" si="8"/>
        <v>-1.1617670541742675E-2</v>
      </c>
      <c r="J293" s="23">
        <v>41339</v>
      </c>
      <c r="K293" s="22">
        <v>609.84799999999996</v>
      </c>
      <c r="L293">
        <f t="shared" si="8"/>
        <v>-8.316444764175035E-3</v>
      </c>
      <c r="M293" s="23">
        <v>41318</v>
      </c>
      <c r="N293" s="22">
        <v>714.94889999999998</v>
      </c>
      <c r="O293">
        <f t="shared" si="9"/>
        <v>-2.1819265152434042E-5</v>
      </c>
    </row>
    <row r="294" spans="7:15" x14ac:dyDescent="0.25">
      <c r="G294" s="23">
        <v>41340</v>
      </c>
      <c r="H294" s="22">
        <v>405.613</v>
      </c>
      <c r="I294">
        <f t="shared" si="8"/>
        <v>4.7580275373615422E-4</v>
      </c>
      <c r="J294" s="23">
        <v>41340</v>
      </c>
      <c r="K294" s="22">
        <v>609.66989999999998</v>
      </c>
      <c r="L294">
        <f t="shared" si="8"/>
        <v>-2.9203998373361628E-4</v>
      </c>
      <c r="M294" s="23">
        <v>41319</v>
      </c>
      <c r="N294" s="22">
        <v>714.5095</v>
      </c>
      <c r="O294">
        <f t="shared" si="9"/>
        <v>-6.1458937834579785E-4</v>
      </c>
    </row>
    <row r="295" spans="7:15" x14ac:dyDescent="0.25">
      <c r="G295" s="23">
        <v>41341</v>
      </c>
      <c r="H295" s="22">
        <v>406.17160000000001</v>
      </c>
      <c r="I295">
        <f t="shared" si="8"/>
        <v>1.3771747946935697E-3</v>
      </c>
      <c r="J295" s="23">
        <v>41341</v>
      </c>
      <c r="K295" s="22">
        <v>610.15589999999997</v>
      </c>
      <c r="L295">
        <f t="shared" si="8"/>
        <v>7.9715268869273714E-4</v>
      </c>
      <c r="M295" s="23">
        <v>41320</v>
      </c>
      <c r="N295" s="22">
        <v>714.50149999999996</v>
      </c>
      <c r="O295">
        <f t="shared" si="9"/>
        <v>-1.1196492139098346E-5</v>
      </c>
    </row>
    <row r="296" spans="7:15" x14ac:dyDescent="0.25">
      <c r="G296" s="23">
        <v>41344</v>
      </c>
      <c r="H296" s="22">
        <v>406.32069999999999</v>
      </c>
      <c r="I296">
        <f t="shared" si="8"/>
        <v>3.6708622660963641E-4</v>
      </c>
      <c r="J296" s="23">
        <v>41344</v>
      </c>
      <c r="K296" s="22">
        <v>610.14559999999994</v>
      </c>
      <c r="L296">
        <f t="shared" si="8"/>
        <v>-1.6880931578366898E-5</v>
      </c>
      <c r="M296" s="23">
        <v>41323</v>
      </c>
      <c r="N296" s="22">
        <v>714.50149999999996</v>
      </c>
      <c r="O296">
        <f t="shared" si="9"/>
        <v>0</v>
      </c>
    </row>
    <row r="297" spans="7:15" x14ac:dyDescent="0.25">
      <c r="G297" s="23">
        <v>41345</v>
      </c>
      <c r="H297" s="22">
        <v>406.11489999999998</v>
      </c>
      <c r="I297">
        <f t="shared" si="8"/>
        <v>-5.0649646941447468E-4</v>
      </c>
      <c r="J297" s="23">
        <v>41345</v>
      </c>
      <c r="K297" s="22">
        <v>610.14120000000003</v>
      </c>
      <c r="L297">
        <f t="shared" si="8"/>
        <v>-7.2113934771467214E-6</v>
      </c>
      <c r="M297" s="23">
        <v>41324</v>
      </c>
      <c r="N297" s="22">
        <v>714.49300000000005</v>
      </c>
      <c r="O297">
        <f t="shared" si="9"/>
        <v>-1.189640609555731E-5</v>
      </c>
    </row>
    <row r="298" spans="7:15" x14ac:dyDescent="0.25">
      <c r="G298" s="23">
        <v>41346</v>
      </c>
      <c r="H298" s="22">
        <v>406.11090000000002</v>
      </c>
      <c r="I298">
        <f t="shared" si="8"/>
        <v>-9.849429311703517E-6</v>
      </c>
      <c r="J298" s="23">
        <v>41346</v>
      </c>
      <c r="K298" s="22">
        <v>610.95839999999998</v>
      </c>
      <c r="L298">
        <f t="shared" si="8"/>
        <v>1.3393621017561141E-3</v>
      </c>
      <c r="M298" s="23">
        <v>41325</v>
      </c>
      <c r="N298" s="22">
        <v>714.46839999999997</v>
      </c>
      <c r="O298">
        <f t="shared" si="9"/>
        <v>-3.4430008411634461E-5</v>
      </c>
    </row>
    <row r="299" spans="7:15" x14ac:dyDescent="0.25">
      <c r="G299" s="23">
        <v>41347</v>
      </c>
      <c r="H299" s="22">
        <v>406.12290000000002</v>
      </c>
      <c r="I299">
        <f t="shared" si="8"/>
        <v>2.9548578971860806E-5</v>
      </c>
      <c r="J299" s="23">
        <v>41347</v>
      </c>
      <c r="K299" s="22">
        <v>611.31780000000003</v>
      </c>
      <c r="L299">
        <f t="shared" si="8"/>
        <v>5.8825609075841001E-4</v>
      </c>
      <c r="M299" s="23">
        <v>41326</v>
      </c>
      <c r="N299" s="22">
        <v>709.47490000000005</v>
      </c>
      <c r="O299">
        <f t="shared" si="9"/>
        <v>-6.9891124645959923E-3</v>
      </c>
    </row>
    <row r="300" spans="7:15" x14ac:dyDescent="0.25">
      <c r="G300" s="23">
        <v>41348</v>
      </c>
      <c r="H300" s="22">
        <v>417.08089999999999</v>
      </c>
      <c r="I300">
        <f t="shared" si="8"/>
        <v>2.6981980085338586E-2</v>
      </c>
      <c r="J300" s="23">
        <v>41348</v>
      </c>
      <c r="K300" s="22">
        <v>616.42359999999996</v>
      </c>
      <c r="L300">
        <f t="shared" si="8"/>
        <v>8.3521206154963945E-3</v>
      </c>
      <c r="M300" s="23">
        <v>41327</v>
      </c>
      <c r="N300" s="22">
        <v>709.44939999999997</v>
      </c>
      <c r="O300">
        <f t="shared" si="9"/>
        <v>-3.5942074906536448E-5</v>
      </c>
    </row>
    <row r="301" spans="7:15" x14ac:dyDescent="0.25">
      <c r="G301" s="23">
        <v>41351</v>
      </c>
      <c r="H301" s="22">
        <v>417.03280000000001</v>
      </c>
      <c r="I301">
        <f t="shared" si="8"/>
        <v>-1.1532534815184015E-4</v>
      </c>
      <c r="J301" s="23">
        <v>41351</v>
      </c>
      <c r="K301" s="22">
        <v>616.74950000000001</v>
      </c>
      <c r="L301">
        <f t="shared" si="8"/>
        <v>5.2869487800277781E-4</v>
      </c>
      <c r="M301" s="23">
        <v>41330</v>
      </c>
      <c r="N301" s="22">
        <v>713.42660000000001</v>
      </c>
      <c r="O301">
        <f t="shared" si="9"/>
        <v>5.6060375835120801E-3</v>
      </c>
    </row>
    <row r="302" spans="7:15" x14ac:dyDescent="0.25">
      <c r="G302" s="23">
        <v>41352</v>
      </c>
      <c r="H302" s="22">
        <v>417.7441</v>
      </c>
      <c r="I302">
        <f t="shared" si="8"/>
        <v>1.7056212365069712E-3</v>
      </c>
      <c r="J302" s="23">
        <v>41352</v>
      </c>
      <c r="K302" s="22">
        <v>617.56039999999996</v>
      </c>
      <c r="L302">
        <f t="shared" si="8"/>
        <v>1.3147963638397986E-3</v>
      </c>
      <c r="M302" s="23">
        <v>41331</v>
      </c>
      <c r="N302" s="22">
        <v>713.38469999999995</v>
      </c>
      <c r="O302">
        <f t="shared" si="9"/>
        <v>-5.8730638863302431E-5</v>
      </c>
    </row>
    <row r="303" spans="7:15" x14ac:dyDescent="0.25">
      <c r="G303" s="23">
        <v>41353</v>
      </c>
      <c r="H303" s="22">
        <v>417.74639999999999</v>
      </c>
      <c r="I303">
        <f t="shared" si="8"/>
        <v>5.5057629777532924E-6</v>
      </c>
      <c r="J303" s="23">
        <v>41353</v>
      </c>
      <c r="K303" s="22">
        <v>617.54420000000005</v>
      </c>
      <c r="L303">
        <f t="shared" si="8"/>
        <v>-2.6232251938318463E-5</v>
      </c>
      <c r="M303" s="23">
        <v>41332</v>
      </c>
      <c r="N303" s="22">
        <v>731.52940000000001</v>
      </c>
      <c r="O303">
        <f t="shared" si="9"/>
        <v>2.5434663793602708E-2</v>
      </c>
    </row>
    <row r="304" spans="7:15" x14ac:dyDescent="0.25">
      <c r="G304" s="23">
        <v>41354</v>
      </c>
      <c r="H304" s="22">
        <v>417.72199999999998</v>
      </c>
      <c r="I304">
        <f t="shared" si="8"/>
        <v>-5.8408642180984849E-5</v>
      </c>
      <c r="J304" s="23">
        <v>41354</v>
      </c>
      <c r="K304" s="22">
        <v>617.53279999999995</v>
      </c>
      <c r="L304">
        <f t="shared" si="8"/>
        <v>-1.8460217098836829E-5</v>
      </c>
      <c r="M304" s="23">
        <v>41333</v>
      </c>
      <c r="N304" s="22">
        <v>731.62810000000002</v>
      </c>
      <c r="O304">
        <f t="shared" si="9"/>
        <v>1.3492280693028214E-4</v>
      </c>
    </row>
    <row r="305" spans="7:15" x14ac:dyDescent="0.25">
      <c r="G305" s="23">
        <v>41355</v>
      </c>
      <c r="H305" s="22">
        <v>418.68729999999999</v>
      </c>
      <c r="I305">
        <f t="shared" si="8"/>
        <v>2.3108670359712757E-3</v>
      </c>
      <c r="J305" s="23">
        <v>41355</v>
      </c>
      <c r="K305" s="22">
        <v>617.52970000000005</v>
      </c>
      <c r="L305">
        <f t="shared" si="8"/>
        <v>-5.0199762666736092E-6</v>
      </c>
      <c r="M305" s="23">
        <v>41334</v>
      </c>
      <c r="N305" s="22">
        <v>731.62049999999999</v>
      </c>
      <c r="O305">
        <f t="shared" si="9"/>
        <v>-1.0387791283594794E-5</v>
      </c>
    </row>
    <row r="306" spans="7:15" x14ac:dyDescent="0.25">
      <c r="G306" s="23">
        <v>41358</v>
      </c>
      <c r="H306" s="22">
        <v>418.39389999999997</v>
      </c>
      <c r="I306">
        <f t="shared" si="8"/>
        <v>-7.0076164239996075E-4</v>
      </c>
      <c r="J306" s="23">
        <v>41358</v>
      </c>
      <c r="K306" s="22">
        <v>617.52800000000002</v>
      </c>
      <c r="L306">
        <f t="shared" si="8"/>
        <v>-2.752904030400849E-6</v>
      </c>
      <c r="M306" s="23">
        <v>41337</v>
      </c>
      <c r="N306" s="22">
        <v>731.62639999999999</v>
      </c>
      <c r="O306">
        <f t="shared" si="9"/>
        <v>8.0642901614247364E-6</v>
      </c>
    </row>
    <row r="307" spans="7:15" x14ac:dyDescent="0.25">
      <c r="G307" s="23">
        <v>41359</v>
      </c>
      <c r="H307" s="22">
        <v>418.4015</v>
      </c>
      <c r="I307">
        <f t="shared" si="8"/>
        <v>1.8164700775979981E-5</v>
      </c>
      <c r="J307" s="23">
        <v>41359</v>
      </c>
      <c r="K307" s="22">
        <v>617.5394</v>
      </c>
      <c r="L307">
        <f t="shared" si="8"/>
        <v>1.8460701377120969E-5</v>
      </c>
      <c r="M307" s="23">
        <v>41338</v>
      </c>
      <c r="N307" s="22">
        <v>731.5181</v>
      </c>
      <c r="O307">
        <f t="shared" si="9"/>
        <v>-1.4802636974275973E-4</v>
      </c>
    </row>
    <row r="308" spans="7:15" x14ac:dyDescent="0.25">
      <c r="G308" s="23">
        <v>41360</v>
      </c>
      <c r="H308" s="22">
        <v>418.68220000000002</v>
      </c>
      <c r="I308">
        <f t="shared" si="8"/>
        <v>6.7088669615200658E-4</v>
      </c>
      <c r="J308" s="23">
        <v>41360</v>
      </c>
      <c r="K308" s="22">
        <v>617.53219999999999</v>
      </c>
      <c r="L308">
        <f t="shared" si="8"/>
        <v>-1.1659175106926156E-5</v>
      </c>
      <c r="M308" s="23">
        <v>41339</v>
      </c>
      <c r="N308" s="22">
        <v>725.54390000000001</v>
      </c>
      <c r="O308">
        <f t="shared" si="9"/>
        <v>-8.166851920683893E-3</v>
      </c>
    </row>
    <row r="309" spans="7:15" x14ac:dyDescent="0.25">
      <c r="G309" s="23">
        <v>41361</v>
      </c>
      <c r="H309" s="22">
        <v>421.23509999999999</v>
      </c>
      <c r="I309">
        <f t="shared" si="8"/>
        <v>6.0974648552052368E-3</v>
      </c>
      <c r="J309" s="23">
        <v>41361</v>
      </c>
      <c r="K309" s="22">
        <v>620.73140000000001</v>
      </c>
      <c r="L309">
        <f t="shared" si="8"/>
        <v>5.1806205409208328E-3</v>
      </c>
      <c r="M309" s="23">
        <v>41340</v>
      </c>
      <c r="N309" s="22">
        <v>725.53330000000005</v>
      </c>
      <c r="O309">
        <f t="shared" si="9"/>
        <v>-1.4609729335424149E-5</v>
      </c>
    </row>
    <row r="310" spans="7:15" x14ac:dyDescent="0.25">
      <c r="G310" s="23">
        <v>41365</v>
      </c>
      <c r="H310" s="22">
        <v>421.90440000000001</v>
      </c>
      <c r="I310">
        <f t="shared" si="8"/>
        <v>1.5888989307870638E-3</v>
      </c>
      <c r="J310" s="23">
        <v>41365</v>
      </c>
      <c r="K310" s="22">
        <v>622.06410000000005</v>
      </c>
      <c r="L310">
        <f t="shared" si="8"/>
        <v>2.1469833812177708E-3</v>
      </c>
      <c r="M310" s="23">
        <v>41341</v>
      </c>
      <c r="N310" s="22">
        <v>725.52790000000005</v>
      </c>
      <c r="O310">
        <f t="shared" si="9"/>
        <v>-7.4428010402582956E-6</v>
      </c>
    </row>
    <row r="311" spans="7:15" x14ac:dyDescent="0.25">
      <c r="G311" s="23">
        <v>41366</v>
      </c>
      <c r="H311" s="22">
        <v>421.89800000000002</v>
      </c>
      <c r="I311">
        <f t="shared" si="8"/>
        <v>-1.5169313237750615E-5</v>
      </c>
      <c r="J311" s="23">
        <v>41366</v>
      </c>
      <c r="K311" s="22">
        <v>621.73040000000003</v>
      </c>
      <c r="L311">
        <f t="shared" si="8"/>
        <v>-5.3643989421670035E-4</v>
      </c>
      <c r="M311" s="23">
        <v>41344</v>
      </c>
      <c r="N311" s="22">
        <v>725.60140000000001</v>
      </c>
      <c r="O311">
        <f t="shared" si="9"/>
        <v>1.0130554593423824E-4</v>
      </c>
    </row>
    <row r="312" spans="7:15" x14ac:dyDescent="0.25">
      <c r="G312" s="23">
        <v>41367</v>
      </c>
      <c r="H312" s="22">
        <v>422.0575</v>
      </c>
      <c r="I312">
        <f t="shared" si="8"/>
        <v>3.780534631592225E-4</v>
      </c>
      <c r="J312" s="23">
        <v>41367</v>
      </c>
      <c r="K312" s="22">
        <v>621.72500000000002</v>
      </c>
      <c r="L312">
        <f t="shared" si="8"/>
        <v>-8.6854366458943844E-6</v>
      </c>
      <c r="M312" s="23">
        <v>41345</v>
      </c>
      <c r="N312" s="22">
        <v>725.59090000000003</v>
      </c>
      <c r="O312">
        <f t="shared" si="9"/>
        <v>-1.4470754880036019E-5</v>
      </c>
    </row>
    <row r="313" spans="7:15" x14ac:dyDescent="0.25">
      <c r="G313" s="23">
        <v>41368</v>
      </c>
      <c r="H313" s="22">
        <v>422.15039999999999</v>
      </c>
      <c r="I313">
        <f t="shared" si="8"/>
        <v>2.2011218850503944E-4</v>
      </c>
      <c r="J313" s="23">
        <v>41368</v>
      </c>
      <c r="K313" s="22">
        <v>622.01130000000001</v>
      </c>
      <c r="L313">
        <f t="shared" si="8"/>
        <v>4.6049298323214138E-4</v>
      </c>
      <c r="M313" s="23">
        <v>41346</v>
      </c>
      <c r="N313" s="22">
        <v>725.56309999999996</v>
      </c>
      <c r="O313">
        <f t="shared" si="9"/>
        <v>-3.831360068062839E-5</v>
      </c>
    </row>
    <row r="314" spans="7:15" x14ac:dyDescent="0.25">
      <c r="G314" s="23">
        <v>41369</v>
      </c>
      <c r="H314" s="22">
        <v>445.41930000000002</v>
      </c>
      <c r="I314">
        <f t="shared" si="8"/>
        <v>5.5119928821576458E-2</v>
      </c>
      <c r="J314" s="23">
        <v>41369</v>
      </c>
      <c r="K314" s="22">
        <v>644.1268</v>
      </c>
      <c r="L314">
        <f t="shared" si="8"/>
        <v>3.5554820306319179E-2</v>
      </c>
      <c r="M314" s="23">
        <v>41347</v>
      </c>
      <c r="N314" s="22">
        <v>725.48630000000003</v>
      </c>
      <c r="O314">
        <f t="shared" si="9"/>
        <v>-1.0584882279696117E-4</v>
      </c>
    </row>
    <row r="315" spans="7:15" x14ac:dyDescent="0.25">
      <c r="G315" s="23">
        <v>41372</v>
      </c>
      <c r="H315" s="22">
        <v>445.42809999999997</v>
      </c>
      <c r="I315">
        <f t="shared" si="8"/>
        <v>1.9756665236458915E-5</v>
      </c>
      <c r="J315" s="23">
        <v>41372</v>
      </c>
      <c r="K315" s="22">
        <v>644.12750000000005</v>
      </c>
      <c r="L315">
        <f t="shared" si="8"/>
        <v>1.0867425483951365E-6</v>
      </c>
      <c r="M315" s="23">
        <v>41348</v>
      </c>
      <c r="N315" s="22">
        <v>731.43110000000001</v>
      </c>
      <c r="O315">
        <f t="shared" si="9"/>
        <v>8.1942277890016957E-3</v>
      </c>
    </row>
    <row r="316" spans="7:15" x14ac:dyDescent="0.25">
      <c r="G316" s="23">
        <v>41373</v>
      </c>
      <c r="H316" s="22">
        <v>444.8596</v>
      </c>
      <c r="I316">
        <f t="shared" si="8"/>
        <v>-1.276300260356189E-3</v>
      </c>
      <c r="J316" s="23">
        <v>41373</v>
      </c>
      <c r="K316" s="22">
        <v>644.13530000000003</v>
      </c>
      <c r="L316">
        <f t="shared" si="8"/>
        <v>1.210940380591552E-5</v>
      </c>
      <c r="M316" s="23">
        <v>41351</v>
      </c>
      <c r="N316" s="22">
        <v>731.42579999999998</v>
      </c>
      <c r="O316">
        <f t="shared" si="9"/>
        <v>-7.2460687001729696E-6</v>
      </c>
    </row>
    <row r="317" spans="7:15" x14ac:dyDescent="0.25">
      <c r="G317" s="23">
        <v>41374</v>
      </c>
      <c r="H317" s="22">
        <v>444.86040000000003</v>
      </c>
      <c r="I317">
        <f t="shared" si="8"/>
        <v>1.7983201892057821E-6</v>
      </c>
      <c r="J317" s="23">
        <v>41374</v>
      </c>
      <c r="K317" s="22">
        <v>644.11969999999997</v>
      </c>
      <c r="L317">
        <f t="shared" si="8"/>
        <v>-2.4218514340201835E-5</v>
      </c>
      <c r="M317" s="23">
        <v>41352</v>
      </c>
      <c r="N317" s="22">
        <v>731.40679999999998</v>
      </c>
      <c r="O317">
        <f t="shared" si="9"/>
        <v>-2.597666092718498E-5</v>
      </c>
    </row>
    <row r="318" spans="7:15" x14ac:dyDescent="0.25">
      <c r="G318" s="23">
        <v>41375</v>
      </c>
      <c r="H318" s="22">
        <v>444.89</v>
      </c>
      <c r="I318">
        <f t="shared" si="8"/>
        <v>6.6537727340998387E-5</v>
      </c>
      <c r="J318" s="23">
        <v>41375</v>
      </c>
      <c r="K318" s="22">
        <v>643.98900000000003</v>
      </c>
      <c r="L318">
        <f t="shared" si="8"/>
        <v>-2.0291259528304462E-4</v>
      </c>
      <c r="M318" s="23">
        <v>41353</v>
      </c>
      <c r="N318" s="22">
        <v>731.35580000000004</v>
      </c>
      <c r="O318">
        <f t="shared" si="9"/>
        <v>-6.9728638016353095E-5</v>
      </c>
    </row>
    <row r="319" spans="7:15" x14ac:dyDescent="0.25">
      <c r="G319" s="23">
        <v>41376</v>
      </c>
      <c r="H319" s="22">
        <v>444.90649999999999</v>
      </c>
      <c r="I319">
        <f t="shared" si="8"/>
        <v>3.708781946110129E-5</v>
      </c>
      <c r="J319" s="23">
        <v>41376</v>
      </c>
      <c r="K319" s="22">
        <v>643.97760000000005</v>
      </c>
      <c r="L319">
        <f t="shared" si="8"/>
        <v>-1.7702165720168139E-5</v>
      </c>
      <c r="M319" s="23">
        <v>41354</v>
      </c>
      <c r="N319" s="22">
        <v>731.34709999999995</v>
      </c>
      <c r="O319">
        <f t="shared" si="9"/>
        <v>-1.1895714780774114E-5</v>
      </c>
    </row>
    <row r="320" spans="7:15" x14ac:dyDescent="0.25">
      <c r="G320" s="23">
        <v>41379</v>
      </c>
      <c r="H320" s="22">
        <v>444.92430000000002</v>
      </c>
      <c r="I320">
        <f t="shared" si="8"/>
        <v>4.0008406260616525E-5</v>
      </c>
      <c r="J320" s="23">
        <v>41379</v>
      </c>
      <c r="K320" s="22">
        <v>643.7971</v>
      </c>
      <c r="L320">
        <f t="shared" si="8"/>
        <v>-2.8028925229706125E-4</v>
      </c>
      <c r="M320" s="23">
        <v>41355</v>
      </c>
      <c r="N320" s="22">
        <v>731.34630000000004</v>
      </c>
      <c r="O320">
        <f t="shared" si="9"/>
        <v>-1.0938718426611871E-6</v>
      </c>
    </row>
    <row r="321" spans="7:15" x14ac:dyDescent="0.25">
      <c r="G321" s="23">
        <v>41380</v>
      </c>
      <c r="H321" s="22">
        <v>443.82650000000001</v>
      </c>
      <c r="I321">
        <f t="shared" si="8"/>
        <v>-2.4673860249935231E-3</v>
      </c>
      <c r="J321" s="23">
        <v>41380</v>
      </c>
      <c r="K321" s="22">
        <v>643.15250000000003</v>
      </c>
      <c r="L321">
        <f t="shared" si="8"/>
        <v>-1.0012471320544059E-3</v>
      </c>
      <c r="M321" s="23">
        <v>41358</v>
      </c>
      <c r="N321" s="22">
        <v>731.33920000000001</v>
      </c>
      <c r="O321">
        <f t="shared" si="9"/>
        <v>-9.7081232243168003E-6</v>
      </c>
    </row>
    <row r="322" spans="7:15" x14ac:dyDescent="0.25">
      <c r="G322" s="23">
        <v>41381</v>
      </c>
      <c r="H322" s="22">
        <v>443.84660000000002</v>
      </c>
      <c r="I322">
        <f t="shared" si="8"/>
        <v>4.5287967257445771E-5</v>
      </c>
      <c r="J322" s="23">
        <v>41381</v>
      </c>
      <c r="K322" s="22">
        <v>642.04420000000005</v>
      </c>
      <c r="L322">
        <f t="shared" si="8"/>
        <v>-1.7232304935453913E-3</v>
      </c>
      <c r="M322" s="23">
        <v>41359</v>
      </c>
      <c r="N322" s="22">
        <v>731.33140000000003</v>
      </c>
      <c r="O322">
        <f t="shared" si="9"/>
        <v>-1.066536567428944E-5</v>
      </c>
    </row>
    <row r="323" spans="7:15" x14ac:dyDescent="0.25">
      <c r="G323" s="23">
        <v>41382</v>
      </c>
      <c r="H323" s="22">
        <v>443.84750000000003</v>
      </c>
      <c r="I323">
        <f t="shared" si="8"/>
        <v>2.0277275978308751E-6</v>
      </c>
      <c r="J323" s="23">
        <v>41382</v>
      </c>
      <c r="K323" s="22">
        <v>641.45699999999999</v>
      </c>
      <c r="L323">
        <f t="shared" si="8"/>
        <v>-9.1457877822131994E-4</v>
      </c>
      <c r="M323" s="23">
        <v>41360</v>
      </c>
      <c r="N323" s="22">
        <v>731.25210000000004</v>
      </c>
      <c r="O323">
        <f t="shared" si="9"/>
        <v>-1.08432374160361E-4</v>
      </c>
    </row>
    <row r="324" spans="7:15" x14ac:dyDescent="0.25">
      <c r="G324" s="23">
        <v>41383</v>
      </c>
      <c r="H324" s="22">
        <v>443.86169999999998</v>
      </c>
      <c r="I324">
        <f t="shared" ref="I324:L387" si="10">H324/H323-1</f>
        <v>3.1992970558558653E-5</v>
      </c>
      <c r="J324" s="23">
        <v>41383</v>
      </c>
      <c r="K324" s="22">
        <v>640.03520000000003</v>
      </c>
      <c r="L324">
        <f t="shared" si="10"/>
        <v>-2.2165164617424793E-3</v>
      </c>
      <c r="M324" s="23">
        <v>41361</v>
      </c>
      <c r="N324" s="22">
        <v>747.20339999999999</v>
      </c>
      <c r="O324">
        <f t="shared" ref="O324:O387" si="11">N324/N323-1</f>
        <v>2.181368094532643E-2</v>
      </c>
    </row>
    <row r="325" spans="7:15" x14ac:dyDescent="0.25">
      <c r="G325" s="23">
        <v>41386</v>
      </c>
      <c r="H325" s="22">
        <v>443.78399999999999</v>
      </c>
      <c r="I325">
        <f t="shared" si="10"/>
        <v>-1.7505452711963354E-4</v>
      </c>
      <c r="J325" s="23">
        <v>41386</v>
      </c>
      <c r="K325" s="22">
        <v>640.19500000000005</v>
      </c>
      <c r="L325">
        <f t="shared" si="10"/>
        <v>2.4967376794271523E-4</v>
      </c>
      <c r="M325" s="23">
        <v>41362</v>
      </c>
      <c r="N325" s="22">
        <v>747.20339999999999</v>
      </c>
      <c r="O325">
        <f t="shared" si="11"/>
        <v>0</v>
      </c>
    </row>
    <row r="326" spans="7:15" x14ac:dyDescent="0.25">
      <c r="G326" s="23">
        <v>41387</v>
      </c>
      <c r="H326" s="22">
        <v>443.81110000000001</v>
      </c>
      <c r="I326">
        <f t="shared" si="10"/>
        <v>6.1065743695243313E-5</v>
      </c>
      <c r="J326" s="23">
        <v>41387</v>
      </c>
      <c r="K326" s="22">
        <v>640.21109999999999</v>
      </c>
      <c r="L326">
        <f t="shared" si="10"/>
        <v>2.5148587539547407E-5</v>
      </c>
      <c r="M326" s="23">
        <v>41365</v>
      </c>
      <c r="N326" s="22">
        <v>747.20460000000003</v>
      </c>
      <c r="O326">
        <f t="shared" si="11"/>
        <v>1.6059884095920296E-6</v>
      </c>
    </row>
    <row r="327" spans="7:15" x14ac:dyDescent="0.25">
      <c r="G327" s="23">
        <v>41388</v>
      </c>
      <c r="H327" s="22">
        <v>442.2122</v>
      </c>
      <c r="I327">
        <f t="shared" si="10"/>
        <v>-3.602658878969045E-3</v>
      </c>
      <c r="J327" s="23">
        <v>41388</v>
      </c>
      <c r="K327" s="22">
        <v>637.86120000000005</v>
      </c>
      <c r="L327">
        <f t="shared" si="10"/>
        <v>-3.6705080558583347E-3</v>
      </c>
      <c r="M327" s="23">
        <v>41366</v>
      </c>
      <c r="N327" s="22">
        <v>747.20050000000003</v>
      </c>
      <c r="O327">
        <f t="shared" si="11"/>
        <v>-5.4871182537663543E-6</v>
      </c>
    </row>
    <row r="328" spans="7:15" x14ac:dyDescent="0.25">
      <c r="G328" s="23">
        <v>41389</v>
      </c>
      <c r="H328" s="22">
        <v>428.11689999999999</v>
      </c>
      <c r="I328">
        <f t="shared" si="10"/>
        <v>-3.1874516352104254E-2</v>
      </c>
      <c r="J328" s="23">
        <v>41389</v>
      </c>
      <c r="K328" s="22">
        <v>624.149</v>
      </c>
      <c r="L328">
        <f t="shared" si="10"/>
        <v>-2.1497153299181782E-2</v>
      </c>
      <c r="M328" s="23">
        <v>41367</v>
      </c>
      <c r="N328" s="22">
        <v>747.19539999999995</v>
      </c>
      <c r="O328">
        <f t="shared" si="11"/>
        <v>-6.8254772314091383E-6</v>
      </c>
    </row>
    <row r="329" spans="7:15" x14ac:dyDescent="0.25">
      <c r="G329" s="23">
        <v>41390</v>
      </c>
      <c r="H329" s="22">
        <v>428.10070000000002</v>
      </c>
      <c r="I329">
        <f t="shared" si="10"/>
        <v>-3.784013198260272E-5</v>
      </c>
      <c r="J329" s="23">
        <v>41390</v>
      </c>
      <c r="K329" s="22">
        <v>623.73339999999996</v>
      </c>
      <c r="L329">
        <f t="shared" si="10"/>
        <v>-6.6586664402257245E-4</v>
      </c>
      <c r="M329" s="23">
        <v>41368</v>
      </c>
      <c r="N329" s="22">
        <v>747.18920000000003</v>
      </c>
      <c r="O329">
        <f t="shared" si="11"/>
        <v>-8.2976956227165388E-6</v>
      </c>
    </row>
    <row r="330" spans="7:15" x14ac:dyDescent="0.25">
      <c r="G330" s="23">
        <v>41393</v>
      </c>
      <c r="H330" s="22">
        <v>428.10719999999998</v>
      </c>
      <c r="I330">
        <f t="shared" si="10"/>
        <v>1.5183343545110972E-5</v>
      </c>
      <c r="J330" s="23">
        <v>41393</v>
      </c>
      <c r="K330" s="22">
        <v>623.70609999999999</v>
      </c>
      <c r="L330">
        <f t="shared" si="10"/>
        <v>-4.3768699896418184E-5</v>
      </c>
      <c r="M330" s="23">
        <v>41369</v>
      </c>
      <c r="N330" s="22">
        <v>774.09199999999998</v>
      </c>
      <c r="O330">
        <f t="shared" si="11"/>
        <v>3.6005338406925436E-2</v>
      </c>
    </row>
    <row r="331" spans="7:15" x14ac:dyDescent="0.25">
      <c r="G331" s="23">
        <v>41394</v>
      </c>
      <c r="H331" s="22">
        <v>427.3064</v>
      </c>
      <c r="I331">
        <f t="shared" si="10"/>
        <v>-1.8705595234090877E-3</v>
      </c>
      <c r="J331" s="23">
        <v>41394</v>
      </c>
      <c r="K331" s="22">
        <v>625.31380000000001</v>
      </c>
      <c r="L331">
        <f t="shared" si="10"/>
        <v>2.5776563673178821E-3</v>
      </c>
      <c r="M331" s="23">
        <v>41372</v>
      </c>
      <c r="N331" s="22">
        <v>774.08389999999997</v>
      </c>
      <c r="O331">
        <f t="shared" si="11"/>
        <v>-1.0463872511246031E-5</v>
      </c>
    </row>
    <row r="332" spans="7:15" x14ac:dyDescent="0.25">
      <c r="G332" s="23">
        <v>41395</v>
      </c>
      <c r="H332" s="22">
        <v>427.26130000000001</v>
      </c>
      <c r="I332">
        <f t="shared" si="10"/>
        <v>-1.0554487365499465E-4</v>
      </c>
      <c r="J332" s="23">
        <v>41395</v>
      </c>
      <c r="K332" s="22">
        <v>625.27949999999998</v>
      </c>
      <c r="L332">
        <f t="shared" si="10"/>
        <v>-5.485245967706831E-5</v>
      </c>
      <c r="M332" s="23">
        <v>41373</v>
      </c>
      <c r="N332" s="22">
        <v>774.0788</v>
      </c>
      <c r="O332">
        <f t="shared" si="11"/>
        <v>-6.5884331142962438E-6</v>
      </c>
    </row>
    <row r="333" spans="7:15" x14ac:dyDescent="0.25">
      <c r="G333" s="23">
        <v>41396</v>
      </c>
      <c r="H333" s="22">
        <v>427.26749999999998</v>
      </c>
      <c r="I333">
        <f t="shared" si="10"/>
        <v>1.4511026390495729E-5</v>
      </c>
      <c r="J333" s="23">
        <v>41396</v>
      </c>
      <c r="K333" s="22">
        <v>625.12070000000006</v>
      </c>
      <c r="L333">
        <f t="shared" si="10"/>
        <v>-2.5396642621411392E-4</v>
      </c>
      <c r="M333" s="23">
        <v>41374</v>
      </c>
      <c r="N333" s="22">
        <v>774.07039999999995</v>
      </c>
      <c r="O333">
        <f t="shared" si="11"/>
        <v>-1.0851608389317313E-5</v>
      </c>
    </row>
    <row r="334" spans="7:15" x14ac:dyDescent="0.25">
      <c r="G334" s="23">
        <v>41397</v>
      </c>
      <c r="H334" s="22">
        <v>417.40989999999999</v>
      </c>
      <c r="I334">
        <f t="shared" si="10"/>
        <v>-2.3071260978192787E-2</v>
      </c>
      <c r="J334" s="23">
        <v>41397</v>
      </c>
      <c r="K334" s="22">
        <v>605.93190000000004</v>
      </c>
      <c r="L334">
        <f t="shared" si="10"/>
        <v>-3.0696151959133666E-2</v>
      </c>
      <c r="M334" s="23">
        <v>41375</v>
      </c>
      <c r="N334" s="22">
        <v>774.06989999999996</v>
      </c>
      <c r="O334">
        <f t="shared" si="11"/>
        <v>-6.4593608017915471E-7</v>
      </c>
    </row>
    <row r="335" spans="7:15" x14ac:dyDescent="0.25">
      <c r="G335" s="23">
        <v>41400</v>
      </c>
      <c r="H335" s="22">
        <v>417.4615</v>
      </c>
      <c r="I335">
        <f t="shared" si="10"/>
        <v>1.2361949249406479E-4</v>
      </c>
      <c r="J335" s="23">
        <v>41400</v>
      </c>
      <c r="K335" s="22">
        <v>606.09960000000001</v>
      </c>
      <c r="L335">
        <f t="shared" si="10"/>
        <v>2.7676377493901505E-4</v>
      </c>
      <c r="M335" s="23">
        <v>41376</v>
      </c>
      <c r="N335" s="22">
        <v>773.99630000000002</v>
      </c>
      <c r="O335">
        <f t="shared" si="11"/>
        <v>-9.5081852426903701E-5</v>
      </c>
    </row>
    <row r="336" spans="7:15" x14ac:dyDescent="0.25">
      <c r="G336" s="23">
        <v>41401</v>
      </c>
      <c r="H336" s="22">
        <v>417.28449999999998</v>
      </c>
      <c r="I336">
        <f t="shared" si="10"/>
        <v>-4.2399119439762156E-4</v>
      </c>
      <c r="J336" s="23">
        <v>41401</v>
      </c>
      <c r="K336" s="22">
        <v>605.16849999999999</v>
      </c>
      <c r="L336">
        <f t="shared" si="10"/>
        <v>-1.5362161598523327E-3</v>
      </c>
      <c r="M336" s="23">
        <v>41379</v>
      </c>
      <c r="N336" s="22">
        <v>773.98680000000002</v>
      </c>
      <c r="O336">
        <f t="shared" si="11"/>
        <v>-1.2273960482755975E-5</v>
      </c>
    </row>
    <row r="337" spans="7:15" x14ac:dyDescent="0.25">
      <c r="G337" s="23">
        <v>41402</v>
      </c>
      <c r="H337" s="22">
        <v>417.09910000000002</v>
      </c>
      <c r="I337">
        <f t="shared" si="10"/>
        <v>-4.4430119019511771E-4</v>
      </c>
      <c r="J337" s="23">
        <v>41402</v>
      </c>
      <c r="K337" s="22">
        <v>605.12729999999999</v>
      </c>
      <c r="L337">
        <f t="shared" si="10"/>
        <v>-6.8080212370591475E-5</v>
      </c>
      <c r="M337" s="23">
        <v>41380</v>
      </c>
      <c r="N337" s="22">
        <v>769.40329999999994</v>
      </c>
      <c r="O337">
        <f t="shared" si="11"/>
        <v>-5.9219356195739925E-3</v>
      </c>
    </row>
    <row r="338" spans="7:15" x14ac:dyDescent="0.25">
      <c r="G338" s="23">
        <v>41403</v>
      </c>
      <c r="H338" s="22">
        <v>417.05770000000001</v>
      </c>
      <c r="I338">
        <f t="shared" si="10"/>
        <v>-9.9256987128537588E-5</v>
      </c>
      <c r="J338" s="23">
        <v>41403</v>
      </c>
      <c r="K338" s="22">
        <v>604.90610000000004</v>
      </c>
      <c r="L338">
        <f t="shared" si="10"/>
        <v>-3.6554291964674412E-4</v>
      </c>
      <c r="M338" s="23">
        <v>41381</v>
      </c>
      <c r="N338" s="22">
        <v>769.50040000000001</v>
      </c>
      <c r="O338">
        <f t="shared" si="11"/>
        <v>1.2620169422206118E-4</v>
      </c>
    </row>
    <row r="339" spans="7:15" x14ac:dyDescent="0.25">
      <c r="G339" s="23">
        <v>41404</v>
      </c>
      <c r="H339" s="22">
        <v>417.01519999999999</v>
      </c>
      <c r="I339">
        <f t="shared" si="10"/>
        <v>-1.0190436479173837E-4</v>
      </c>
      <c r="J339" s="23">
        <v>41404</v>
      </c>
      <c r="K339" s="22">
        <v>605.05679999999995</v>
      </c>
      <c r="L339">
        <f t="shared" si="10"/>
        <v>2.4912957564815486E-4</v>
      </c>
      <c r="M339" s="23">
        <v>41382</v>
      </c>
      <c r="N339" s="22">
        <v>769.41520000000003</v>
      </c>
      <c r="O339">
        <f t="shared" si="11"/>
        <v>-1.1072119000843372E-4</v>
      </c>
    </row>
    <row r="340" spans="7:15" x14ac:dyDescent="0.25">
      <c r="G340" s="23">
        <v>41407</v>
      </c>
      <c r="H340" s="22">
        <v>417.00450000000001</v>
      </c>
      <c r="I340">
        <f t="shared" si="10"/>
        <v>-2.56585371468665E-5</v>
      </c>
      <c r="J340" s="23">
        <v>41407</v>
      </c>
      <c r="K340" s="22">
        <v>604.37720000000002</v>
      </c>
      <c r="L340">
        <f t="shared" si="10"/>
        <v>-1.1232003342495078E-3</v>
      </c>
      <c r="M340" s="23">
        <v>41383</v>
      </c>
      <c r="N340" s="22">
        <v>769.38840000000005</v>
      </c>
      <c r="O340">
        <f t="shared" si="11"/>
        <v>-3.4831648763833378E-5</v>
      </c>
    </row>
    <row r="341" spans="7:15" x14ac:dyDescent="0.25">
      <c r="G341" s="23">
        <v>41408</v>
      </c>
      <c r="H341" s="22">
        <v>407.99470000000002</v>
      </c>
      <c r="I341">
        <f t="shared" si="10"/>
        <v>-2.1606001853696988E-2</v>
      </c>
      <c r="J341" s="23">
        <v>41408</v>
      </c>
      <c r="K341" s="22">
        <v>592.66970000000003</v>
      </c>
      <c r="L341">
        <f t="shared" si="10"/>
        <v>-1.9371180779155783E-2</v>
      </c>
      <c r="M341" s="23">
        <v>41386</v>
      </c>
      <c r="N341" s="22">
        <v>769.31399999999996</v>
      </c>
      <c r="O341">
        <f t="shared" si="11"/>
        <v>-9.6700184198383887E-5</v>
      </c>
    </row>
    <row r="342" spans="7:15" x14ac:dyDescent="0.25">
      <c r="G342" s="23">
        <v>41409</v>
      </c>
      <c r="H342" s="22">
        <v>406.79050000000001</v>
      </c>
      <c r="I342">
        <f t="shared" si="10"/>
        <v>-2.9515089289150476E-3</v>
      </c>
      <c r="J342" s="23">
        <v>41409</v>
      </c>
      <c r="K342" s="22">
        <v>584.54849999999999</v>
      </c>
      <c r="L342">
        <f t="shared" si="10"/>
        <v>-1.3702742016337366E-2</v>
      </c>
      <c r="M342" s="23">
        <v>41387</v>
      </c>
      <c r="N342" s="22">
        <v>769.3972</v>
      </c>
      <c r="O342">
        <f t="shared" si="11"/>
        <v>1.0814829835426032E-4</v>
      </c>
    </row>
    <row r="343" spans="7:15" x14ac:dyDescent="0.25">
      <c r="G343" s="23">
        <v>41410</v>
      </c>
      <c r="H343" s="22">
        <v>406.86219999999997</v>
      </c>
      <c r="I343">
        <f t="shared" si="10"/>
        <v>1.7625780346386399E-4</v>
      </c>
      <c r="J343" s="23">
        <v>41410</v>
      </c>
      <c r="K343" s="22">
        <v>584.50559999999996</v>
      </c>
      <c r="L343">
        <f t="shared" si="10"/>
        <v>-7.3389975340010238E-5</v>
      </c>
      <c r="M343" s="23">
        <v>41388</v>
      </c>
      <c r="N343" s="22">
        <v>769.25729999999999</v>
      </c>
      <c r="O343">
        <f t="shared" si="11"/>
        <v>-1.8183065911858698E-4</v>
      </c>
    </row>
    <row r="344" spans="7:15" x14ac:dyDescent="0.25">
      <c r="G344" s="23">
        <v>41411</v>
      </c>
      <c r="H344" s="22">
        <v>405.99419999999998</v>
      </c>
      <c r="I344">
        <f t="shared" si="10"/>
        <v>-2.1334004486039948E-3</v>
      </c>
      <c r="J344" s="23">
        <v>41411</v>
      </c>
      <c r="K344" s="22">
        <v>583.45699999999999</v>
      </c>
      <c r="L344">
        <f t="shared" si="10"/>
        <v>-1.7939947880738494E-3</v>
      </c>
      <c r="M344" s="23">
        <v>41389</v>
      </c>
      <c r="N344" s="22">
        <v>750.93600000000004</v>
      </c>
      <c r="O344">
        <f t="shared" si="11"/>
        <v>-2.3816868556203463E-2</v>
      </c>
    </row>
    <row r="345" spans="7:15" x14ac:dyDescent="0.25">
      <c r="G345" s="23">
        <v>41414</v>
      </c>
      <c r="H345" s="22">
        <v>406.15260000000001</v>
      </c>
      <c r="I345">
        <f t="shared" si="10"/>
        <v>3.9015335687064834E-4</v>
      </c>
      <c r="J345" s="23">
        <v>41414</v>
      </c>
      <c r="K345" s="22">
        <v>583.22640000000001</v>
      </c>
      <c r="L345">
        <f t="shared" si="10"/>
        <v>-3.9523049684897504E-4</v>
      </c>
      <c r="M345" s="23">
        <v>41390</v>
      </c>
      <c r="N345" s="22">
        <v>754.64679999999998</v>
      </c>
      <c r="O345">
        <f t="shared" si="11"/>
        <v>4.9415662586425046E-3</v>
      </c>
    </row>
    <row r="346" spans="7:15" x14ac:dyDescent="0.25">
      <c r="G346" s="23">
        <v>41415</v>
      </c>
      <c r="H346" s="22">
        <v>404.63049999999998</v>
      </c>
      <c r="I346">
        <f t="shared" si="10"/>
        <v>-3.7476061953068962E-3</v>
      </c>
      <c r="J346" s="23">
        <v>41415</v>
      </c>
      <c r="K346" s="22">
        <v>564.75699999999995</v>
      </c>
      <c r="L346">
        <f t="shared" si="10"/>
        <v>-3.1667633701080833E-2</v>
      </c>
      <c r="M346" s="23">
        <v>41393</v>
      </c>
      <c r="N346" s="22">
        <v>754.58420000000001</v>
      </c>
      <c r="O346">
        <f t="shared" si="11"/>
        <v>-8.2952713772788123E-5</v>
      </c>
    </row>
    <row r="347" spans="7:15" x14ac:dyDescent="0.25">
      <c r="G347" s="23">
        <v>41416</v>
      </c>
      <c r="H347" s="22">
        <v>394.66590000000002</v>
      </c>
      <c r="I347">
        <f t="shared" si="10"/>
        <v>-2.4626418423722263E-2</v>
      </c>
      <c r="J347" s="23">
        <v>41416</v>
      </c>
      <c r="K347" s="22">
        <v>559.43579999999997</v>
      </c>
      <c r="L347">
        <f t="shared" si="10"/>
        <v>-9.4221054364974632E-3</v>
      </c>
      <c r="M347" s="23">
        <v>41394</v>
      </c>
      <c r="N347" s="22">
        <v>768.22820000000002</v>
      </c>
      <c r="O347">
        <f t="shared" si="11"/>
        <v>1.808148116538888E-2</v>
      </c>
    </row>
    <row r="348" spans="7:15" x14ac:dyDescent="0.25">
      <c r="G348" s="23">
        <v>41417</v>
      </c>
      <c r="H348" s="22">
        <v>394.67270000000002</v>
      </c>
      <c r="I348">
        <f t="shared" si="10"/>
        <v>1.7229763199733128E-5</v>
      </c>
      <c r="J348" s="23">
        <v>41417</v>
      </c>
      <c r="K348" s="22">
        <v>559.6771</v>
      </c>
      <c r="L348">
        <f t="shared" si="10"/>
        <v>4.3132741951801279E-4</v>
      </c>
      <c r="M348" s="23">
        <v>41395</v>
      </c>
      <c r="N348" s="22">
        <v>768.23820000000001</v>
      </c>
      <c r="O348">
        <f t="shared" si="11"/>
        <v>1.3016965531909008E-5</v>
      </c>
    </row>
    <row r="349" spans="7:15" x14ac:dyDescent="0.25">
      <c r="G349" s="23">
        <v>41418</v>
      </c>
      <c r="H349" s="22">
        <v>394.63299999999998</v>
      </c>
      <c r="I349">
        <f t="shared" si="10"/>
        <v>-1.0058967848558531E-4</v>
      </c>
      <c r="J349" s="23">
        <v>41418</v>
      </c>
      <c r="K349" s="22">
        <v>559.47199999999998</v>
      </c>
      <c r="L349">
        <f t="shared" si="10"/>
        <v>-3.6646130420558976E-4</v>
      </c>
      <c r="M349" s="23">
        <v>41396</v>
      </c>
      <c r="N349" s="22">
        <v>767.80399999999997</v>
      </c>
      <c r="O349">
        <f t="shared" si="11"/>
        <v>-5.6518928634374799E-4</v>
      </c>
    </row>
    <row r="350" spans="7:15" x14ac:dyDescent="0.25">
      <c r="G350" s="23">
        <v>41422</v>
      </c>
      <c r="H350" s="22">
        <v>394.68360000000001</v>
      </c>
      <c r="I350">
        <f t="shared" si="10"/>
        <v>1.2822039717930167E-4</v>
      </c>
      <c r="J350" s="23">
        <v>41422</v>
      </c>
      <c r="K350" s="22">
        <v>559.93589999999995</v>
      </c>
      <c r="L350">
        <f t="shared" si="10"/>
        <v>8.2917465038456761E-4</v>
      </c>
      <c r="M350" s="23">
        <v>41397</v>
      </c>
      <c r="N350" s="22">
        <v>744.27670000000001</v>
      </c>
      <c r="O350">
        <f t="shared" si="11"/>
        <v>-3.0642325385124236E-2</v>
      </c>
    </row>
    <row r="351" spans="7:15" x14ac:dyDescent="0.25">
      <c r="G351" s="23">
        <v>41423</v>
      </c>
      <c r="H351" s="22">
        <v>394.69310000000002</v>
      </c>
      <c r="I351">
        <f t="shared" si="10"/>
        <v>2.4069913216573369E-5</v>
      </c>
      <c r="J351" s="23">
        <v>41423</v>
      </c>
      <c r="K351" s="22">
        <v>559.92269999999996</v>
      </c>
      <c r="L351">
        <f t="shared" si="10"/>
        <v>-2.3574126966963149E-5</v>
      </c>
      <c r="M351" s="23">
        <v>41400</v>
      </c>
      <c r="N351" s="22">
        <v>744.2903</v>
      </c>
      <c r="O351">
        <f t="shared" si="11"/>
        <v>1.8272774090499766E-5</v>
      </c>
    </row>
    <row r="352" spans="7:15" x14ac:dyDescent="0.25">
      <c r="G352" s="23">
        <v>41424</v>
      </c>
      <c r="H352" s="22">
        <v>394.8947</v>
      </c>
      <c r="I352">
        <f t="shared" si="10"/>
        <v>5.1077660085763199E-4</v>
      </c>
      <c r="J352" s="23">
        <v>41424</v>
      </c>
      <c r="K352" s="22">
        <v>560.11540000000002</v>
      </c>
      <c r="L352">
        <f t="shared" si="10"/>
        <v>3.4415464848991384E-4</v>
      </c>
      <c r="M352" s="23">
        <v>41401</v>
      </c>
      <c r="N352" s="22">
        <v>744.25109999999995</v>
      </c>
      <c r="O352">
        <f t="shared" si="11"/>
        <v>-5.2667621760038585E-5</v>
      </c>
    </row>
    <row r="353" spans="7:15" x14ac:dyDescent="0.25">
      <c r="G353" s="23">
        <v>41425</v>
      </c>
      <c r="H353" s="22">
        <v>393.83499999999998</v>
      </c>
      <c r="I353">
        <f t="shared" si="10"/>
        <v>-2.683500183719878E-3</v>
      </c>
      <c r="J353" s="23">
        <v>41425</v>
      </c>
      <c r="K353" s="22">
        <v>560.99239999999998</v>
      </c>
      <c r="L353">
        <f t="shared" si="10"/>
        <v>1.5657487724849428E-3</v>
      </c>
      <c r="M353" s="23">
        <v>41402</v>
      </c>
      <c r="N353" s="22">
        <v>742.48680000000002</v>
      </c>
      <c r="O353">
        <f t="shared" si="11"/>
        <v>-2.3705709000630959E-3</v>
      </c>
    </row>
    <row r="354" spans="7:15" x14ac:dyDescent="0.25">
      <c r="G354" s="23">
        <v>41428</v>
      </c>
      <c r="H354" s="22">
        <v>393.84249999999997</v>
      </c>
      <c r="I354">
        <f t="shared" si="10"/>
        <v>1.9043508068028459E-5</v>
      </c>
      <c r="J354" s="23">
        <v>41428</v>
      </c>
      <c r="K354" s="22">
        <v>560.98940000000005</v>
      </c>
      <c r="L354">
        <f t="shared" si="10"/>
        <v>-5.3476660288875877E-6</v>
      </c>
      <c r="M354" s="23">
        <v>41403</v>
      </c>
      <c r="N354" s="22">
        <v>742.47389999999996</v>
      </c>
      <c r="O354">
        <f t="shared" si="11"/>
        <v>-1.7374046245799413E-5</v>
      </c>
    </row>
    <row r="355" spans="7:15" x14ac:dyDescent="0.25">
      <c r="G355" s="23">
        <v>41429</v>
      </c>
      <c r="H355" s="22">
        <v>394.07190000000003</v>
      </c>
      <c r="I355">
        <f t="shared" si="10"/>
        <v>5.8246634124059504E-4</v>
      </c>
      <c r="J355" s="23">
        <v>41429</v>
      </c>
      <c r="K355" s="22">
        <v>560.99069999999995</v>
      </c>
      <c r="L355">
        <f t="shared" si="10"/>
        <v>2.3173343379756517E-6</v>
      </c>
      <c r="M355" s="23">
        <v>41404</v>
      </c>
      <c r="N355" s="22">
        <v>740.25850000000003</v>
      </c>
      <c r="O355">
        <f t="shared" si="11"/>
        <v>-2.983808589096415E-3</v>
      </c>
    </row>
    <row r="356" spans="7:15" x14ac:dyDescent="0.25">
      <c r="G356" s="23">
        <v>41430</v>
      </c>
      <c r="H356" s="22">
        <v>393.85820000000001</v>
      </c>
      <c r="I356">
        <f t="shared" si="10"/>
        <v>-5.4228682633805647E-4</v>
      </c>
      <c r="J356" s="23">
        <v>41430</v>
      </c>
      <c r="K356" s="22">
        <v>560.85270000000003</v>
      </c>
      <c r="L356">
        <f t="shared" si="10"/>
        <v>-2.4599338277786487E-4</v>
      </c>
      <c r="M356" s="23">
        <v>41407</v>
      </c>
      <c r="N356" s="22">
        <v>740.26880000000006</v>
      </c>
      <c r="O356">
        <f t="shared" si="11"/>
        <v>1.3914058399899787E-5</v>
      </c>
    </row>
    <row r="357" spans="7:15" x14ac:dyDescent="0.25">
      <c r="G357" s="23">
        <v>41431</v>
      </c>
      <c r="H357" s="22">
        <v>409.00150000000002</v>
      </c>
      <c r="I357">
        <f t="shared" si="10"/>
        <v>3.8448609169493109E-2</v>
      </c>
      <c r="J357" s="23">
        <v>41431</v>
      </c>
      <c r="K357" s="22">
        <v>580.36410000000001</v>
      </c>
      <c r="L357">
        <f t="shared" si="10"/>
        <v>3.4788813533392915E-2</v>
      </c>
      <c r="M357" s="23">
        <v>41408</v>
      </c>
      <c r="N357" s="22">
        <v>726.8066</v>
      </c>
      <c r="O357">
        <f t="shared" si="11"/>
        <v>-1.8185556381681955E-2</v>
      </c>
    </row>
    <row r="358" spans="7:15" x14ac:dyDescent="0.25">
      <c r="G358" s="23">
        <v>41432</v>
      </c>
      <c r="H358" s="22">
        <v>408.79149999999998</v>
      </c>
      <c r="I358">
        <f t="shared" si="10"/>
        <v>-5.1344554971077816E-4</v>
      </c>
      <c r="J358" s="23">
        <v>41432</v>
      </c>
      <c r="K358" s="22">
        <v>580.59190000000001</v>
      </c>
      <c r="L358">
        <f t="shared" si="10"/>
        <v>3.9251221776126499E-4</v>
      </c>
      <c r="M358" s="23">
        <v>41409</v>
      </c>
      <c r="N358" s="22">
        <v>718.06730000000005</v>
      </c>
      <c r="O358">
        <f t="shared" si="11"/>
        <v>-1.2024244138674534E-2</v>
      </c>
    </row>
    <row r="359" spans="7:15" x14ac:dyDescent="0.25">
      <c r="G359" s="23">
        <v>41435</v>
      </c>
      <c r="H359" s="22">
        <v>408.79349999999999</v>
      </c>
      <c r="I359">
        <f t="shared" si="10"/>
        <v>4.8924696329777362E-6</v>
      </c>
      <c r="J359" s="23">
        <v>41435</v>
      </c>
      <c r="K359" s="22">
        <v>580.59569999999997</v>
      </c>
      <c r="L359">
        <f t="shared" si="10"/>
        <v>6.5450448067938538E-6</v>
      </c>
      <c r="M359" s="23">
        <v>41410</v>
      </c>
      <c r="N359" s="22">
        <v>718.05970000000002</v>
      </c>
      <c r="O359">
        <f t="shared" si="11"/>
        <v>-1.0583966154720237E-5</v>
      </c>
    </row>
    <row r="360" spans="7:15" x14ac:dyDescent="0.25">
      <c r="G360" s="23">
        <v>41436</v>
      </c>
      <c r="H360" s="22">
        <v>408.81849999999997</v>
      </c>
      <c r="I360">
        <f t="shared" si="10"/>
        <v>6.1155571211335413E-5</v>
      </c>
      <c r="J360" s="23">
        <v>41436</v>
      </c>
      <c r="K360" s="22">
        <v>580.59739999999999</v>
      </c>
      <c r="L360">
        <f t="shared" si="10"/>
        <v>2.9280271969245319E-6</v>
      </c>
      <c r="M360" s="23">
        <v>41411</v>
      </c>
      <c r="N360" s="22">
        <v>676.19870000000003</v>
      </c>
      <c r="O360">
        <f t="shared" si="11"/>
        <v>-5.8297381123045833E-2</v>
      </c>
    </row>
    <row r="361" spans="7:15" x14ac:dyDescent="0.25">
      <c r="G361" s="23">
        <v>41437</v>
      </c>
      <c r="H361" s="22">
        <v>409.29300000000001</v>
      </c>
      <c r="I361">
        <f t="shared" si="10"/>
        <v>1.1606617606592096E-3</v>
      </c>
      <c r="J361" s="23">
        <v>41437</v>
      </c>
      <c r="K361" s="22">
        <v>581.19389999999999</v>
      </c>
      <c r="L361">
        <f t="shared" si="10"/>
        <v>1.0273900640960232E-3</v>
      </c>
      <c r="M361" s="23">
        <v>41414</v>
      </c>
      <c r="N361" s="22">
        <v>676.2011</v>
      </c>
      <c r="O361">
        <f t="shared" si="11"/>
        <v>3.5492526087033127E-6</v>
      </c>
    </row>
    <row r="362" spans="7:15" x14ac:dyDescent="0.25">
      <c r="G362" s="23">
        <v>41438</v>
      </c>
      <c r="H362" s="22">
        <v>438.62279999999998</v>
      </c>
      <c r="I362">
        <f t="shared" si="10"/>
        <v>7.165966679127167E-2</v>
      </c>
      <c r="J362" s="23">
        <v>41438</v>
      </c>
      <c r="K362" s="22">
        <v>644.91639999999995</v>
      </c>
      <c r="L362">
        <f t="shared" si="10"/>
        <v>0.10964068962182849</v>
      </c>
      <c r="M362" s="23">
        <v>41415</v>
      </c>
      <c r="N362" s="22">
        <v>658.92769999999996</v>
      </c>
      <c r="O362">
        <f t="shared" si="11"/>
        <v>-2.5544767673403745E-2</v>
      </c>
    </row>
    <row r="363" spans="7:15" x14ac:dyDescent="0.25">
      <c r="G363" s="23">
        <v>41439</v>
      </c>
      <c r="H363" s="22">
        <v>438.57600000000002</v>
      </c>
      <c r="I363">
        <f t="shared" si="10"/>
        <v>-1.0669759985104665E-4</v>
      </c>
      <c r="J363" s="23">
        <v>41439</v>
      </c>
      <c r="K363" s="22">
        <v>643.99400000000003</v>
      </c>
      <c r="L363">
        <f t="shared" si="10"/>
        <v>-1.4302628991911259E-3</v>
      </c>
      <c r="M363" s="23">
        <v>41416</v>
      </c>
      <c r="N363" s="22">
        <v>651.17930000000001</v>
      </c>
      <c r="O363">
        <f t="shared" si="11"/>
        <v>-1.1759104982230872E-2</v>
      </c>
    </row>
    <row r="364" spans="7:15" x14ac:dyDescent="0.25">
      <c r="G364" s="23">
        <v>41442</v>
      </c>
      <c r="H364" s="22">
        <v>438.31229999999999</v>
      </c>
      <c r="I364">
        <f t="shared" si="10"/>
        <v>-6.0126409105842882E-4</v>
      </c>
      <c r="J364" s="23">
        <v>41442</v>
      </c>
      <c r="K364" s="22">
        <v>643.97260000000006</v>
      </c>
      <c r="L364">
        <f t="shared" si="10"/>
        <v>-3.3230123261951405E-5</v>
      </c>
      <c r="M364" s="23">
        <v>41417</v>
      </c>
      <c r="N364" s="22">
        <v>651.16579999999999</v>
      </c>
      <c r="O364">
        <f t="shared" si="11"/>
        <v>-2.0731617236591227E-5</v>
      </c>
    </row>
    <row r="365" spans="7:15" x14ac:dyDescent="0.25">
      <c r="G365" s="23">
        <v>41443</v>
      </c>
      <c r="H365" s="22">
        <v>436.98739999999998</v>
      </c>
      <c r="I365">
        <f t="shared" si="10"/>
        <v>-3.0227305964263262E-3</v>
      </c>
      <c r="J365" s="23">
        <v>41443</v>
      </c>
      <c r="K365" s="22">
        <v>643.09519999999998</v>
      </c>
      <c r="L365">
        <f t="shared" si="10"/>
        <v>-1.3624803291321097E-3</v>
      </c>
      <c r="M365" s="23">
        <v>41418</v>
      </c>
      <c r="N365" s="22">
        <v>651.16549999999995</v>
      </c>
      <c r="O365">
        <f t="shared" si="11"/>
        <v>-4.6071215664689191E-7</v>
      </c>
    </row>
    <row r="366" spans="7:15" x14ac:dyDescent="0.25">
      <c r="G366" s="23">
        <v>41444</v>
      </c>
      <c r="H366" s="22">
        <v>436.91359999999997</v>
      </c>
      <c r="I366">
        <f t="shared" si="10"/>
        <v>-1.6888358794786562E-4</v>
      </c>
      <c r="J366" s="23">
        <v>41444</v>
      </c>
      <c r="K366" s="22">
        <v>642.65800000000002</v>
      </c>
      <c r="L366">
        <f t="shared" si="10"/>
        <v>-6.7983713764296905E-4</v>
      </c>
      <c r="M366" s="23">
        <v>41421</v>
      </c>
      <c r="N366" s="22">
        <v>651.16549999999995</v>
      </c>
      <c r="O366">
        <f t="shared" si="11"/>
        <v>0</v>
      </c>
    </row>
    <row r="367" spans="7:15" x14ac:dyDescent="0.25">
      <c r="G367" s="23">
        <v>41445</v>
      </c>
      <c r="H367" s="22">
        <v>437.13560000000001</v>
      </c>
      <c r="I367">
        <f t="shared" si="10"/>
        <v>5.0810961251834819E-4</v>
      </c>
      <c r="J367" s="23">
        <v>41445</v>
      </c>
      <c r="K367" s="22">
        <v>642.85159999999996</v>
      </c>
      <c r="L367">
        <f t="shared" si="10"/>
        <v>3.0124887576277182E-4</v>
      </c>
      <c r="M367" s="23">
        <v>41422</v>
      </c>
      <c r="N367" s="22">
        <v>654.07600000000002</v>
      </c>
      <c r="O367">
        <f t="shared" si="11"/>
        <v>4.4696778315191921E-3</v>
      </c>
    </row>
    <row r="368" spans="7:15" x14ac:dyDescent="0.25">
      <c r="G368" s="23">
        <v>41446</v>
      </c>
      <c r="H368" s="22">
        <v>437.11759999999998</v>
      </c>
      <c r="I368">
        <f t="shared" si="10"/>
        <v>-4.1177154182836517E-5</v>
      </c>
      <c r="J368" s="23">
        <v>41446</v>
      </c>
      <c r="K368" s="22">
        <v>642.85130000000004</v>
      </c>
      <c r="L368">
        <f t="shared" si="10"/>
        <v>-4.6667069031336439E-7</v>
      </c>
      <c r="M368" s="23">
        <v>41423</v>
      </c>
      <c r="N368" s="22">
        <v>655.18299999999999</v>
      </c>
      <c r="O368">
        <f t="shared" si="11"/>
        <v>1.6924638726998342E-3</v>
      </c>
    </row>
    <row r="369" spans="7:15" x14ac:dyDescent="0.25">
      <c r="G369" s="23">
        <v>41449</v>
      </c>
      <c r="H369" s="22">
        <v>437.40949999999998</v>
      </c>
      <c r="I369">
        <f t="shared" si="10"/>
        <v>6.6778368109643438E-4</v>
      </c>
      <c r="J369" s="23">
        <v>41449</v>
      </c>
      <c r="K369" s="22">
        <v>668.4271</v>
      </c>
      <c r="L369">
        <f t="shared" si="10"/>
        <v>3.9784939378671114E-2</v>
      </c>
      <c r="M369" s="23">
        <v>41424</v>
      </c>
      <c r="N369" s="22">
        <v>655.18349999999998</v>
      </c>
      <c r="O369">
        <f t="shared" si="11"/>
        <v>7.6314556385348453E-7</v>
      </c>
    </row>
    <row r="370" spans="7:15" x14ac:dyDescent="0.25">
      <c r="G370" s="23">
        <v>41450</v>
      </c>
      <c r="H370" s="22">
        <v>437.32029999999997</v>
      </c>
      <c r="I370">
        <f t="shared" si="10"/>
        <v>-2.0392789822809565E-4</v>
      </c>
      <c r="J370" s="23">
        <v>41450</v>
      </c>
      <c r="K370" s="22">
        <v>692.76549999999997</v>
      </c>
      <c r="L370">
        <f t="shared" si="10"/>
        <v>3.6411450104282039E-2</v>
      </c>
      <c r="M370" s="23">
        <v>41425</v>
      </c>
      <c r="N370" s="22">
        <v>657.48630000000003</v>
      </c>
      <c r="O370">
        <f t="shared" si="11"/>
        <v>3.5147405268907139E-3</v>
      </c>
    </row>
    <row r="371" spans="7:15" x14ac:dyDescent="0.25">
      <c r="G371" s="23">
        <v>41451</v>
      </c>
      <c r="H371" s="22">
        <v>487.82819999999998</v>
      </c>
      <c r="I371">
        <f t="shared" si="10"/>
        <v>0.1154940669344644</v>
      </c>
      <c r="J371" s="23">
        <v>41451</v>
      </c>
      <c r="K371" s="22">
        <v>693.36130000000003</v>
      </c>
      <c r="L371">
        <f t="shared" si="10"/>
        <v>8.600312804261101E-4</v>
      </c>
      <c r="M371" s="23">
        <v>41428</v>
      </c>
      <c r="N371" s="22">
        <v>657.47619999999995</v>
      </c>
      <c r="O371">
        <f t="shared" si="11"/>
        <v>-1.536153681080954E-5</v>
      </c>
    </row>
    <row r="372" spans="7:15" x14ac:dyDescent="0.25">
      <c r="G372" s="23">
        <v>41452</v>
      </c>
      <c r="H372" s="22">
        <v>486.98070000000001</v>
      </c>
      <c r="I372">
        <f t="shared" si="10"/>
        <v>-1.7372919400723275E-3</v>
      </c>
      <c r="J372" s="23">
        <v>41452</v>
      </c>
      <c r="K372" s="22">
        <v>692.84100000000001</v>
      </c>
      <c r="L372">
        <f t="shared" si="10"/>
        <v>-7.5040242367152565E-4</v>
      </c>
      <c r="M372" s="23">
        <v>41429</v>
      </c>
      <c r="N372" s="22">
        <v>657.28819999999996</v>
      </c>
      <c r="O372">
        <f t="shared" si="11"/>
        <v>-2.8594190938013853E-4</v>
      </c>
    </row>
    <row r="373" spans="7:15" x14ac:dyDescent="0.25">
      <c r="G373" s="23">
        <v>41453</v>
      </c>
      <c r="H373" s="22">
        <v>486.12509999999997</v>
      </c>
      <c r="I373">
        <f t="shared" si="10"/>
        <v>-1.7569484786563727E-3</v>
      </c>
      <c r="J373" s="23">
        <v>41453</v>
      </c>
      <c r="K373" s="22">
        <v>692.4769</v>
      </c>
      <c r="L373">
        <f t="shared" si="10"/>
        <v>-5.2551739865280833E-4</v>
      </c>
      <c r="M373" s="23">
        <v>41430</v>
      </c>
      <c r="N373" s="22">
        <v>657.29049999999995</v>
      </c>
      <c r="O373">
        <f t="shared" si="11"/>
        <v>3.4992260624644445E-6</v>
      </c>
    </row>
    <row r="374" spans="7:15" x14ac:dyDescent="0.25">
      <c r="G374" s="23">
        <v>41456</v>
      </c>
      <c r="H374" s="22">
        <v>486.11720000000003</v>
      </c>
      <c r="I374">
        <f t="shared" si="10"/>
        <v>-1.6250960915065171E-5</v>
      </c>
      <c r="J374" s="23">
        <v>41456</v>
      </c>
      <c r="K374" s="22">
        <v>692.47439999999995</v>
      </c>
      <c r="L374">
        <f t="shared" si="10"/>
        <v>-3.6102287311878811E-6</v>
      </c>
      <c r="M374" s="23">
        <v>41431</v>
      </c>
      <c r="N374" s="22">
        <v>680.48270000000002</v>
      </c>
      <c r="O374">
        <f t="shared" si="11"/>
        <v>3.528455074278436E-2</v>
      </c>
    </row>
    <row r="375" spans="7:15" x14ac:dyDescent="0.25">
      <c r="G375" s="23">
        <v>41457</v>
      </c>
      <c r="H375" s="22">
        <v>484.9237</v>
      </c>
      <c r="I375">
        <f t="shared" si="10"/>
        <v>-2.4551692472515318E-3</v>
      </c>
      <c r="J375" s="23">
        <v>41457</v>
      </c>
      <c r="K375" s="22">
        <v>691.33759999999995</v>
      </c>
      <c r="L375">
        <f t="shared" si="10"/>
        <v>-1.6416491353326013E-3</v>
      </c>
      <c r="M375" s="23">
        <v>41432</v>
      </c>
      <c r="N375" s="22">
        <v>680.4973</v>
      </c>
      <c r="O375">
        <f t="shared" si="11"/>
        <v>2.145535808617538E-5</v>
      </c>
    </row>
    <row r="376" spans="7:15" x14ac:dyDescent="0.25">
      <c r="G376" s="23">
        <v>41458</v>
      </c>
      <c r="H376" s="22">
        <v>484.92529999999999</v>
      </c>
      <c r="I376">
        <f t="shared" si="10"/>
        <v>3.2994881462578007E-6</v>
      </c>
      <c r="J376" s="23">
        <v>41458</v>
      </c>
      <c r="K376" s="22">
        <v>667.75890000000004</v>
      </c>
      <c r="L376">
        <f t="shared" si="10"/>
        <v>-3.4105912943256489E-2</v>
      </c>
      <c r="M376" s="23">
        <v>41435</v>
      </c>
      <c r="N376" s="22">
        <v>680.51099999999997</v>
      </c>
      <c r="O376">
        <f t="shared" si="11"/>
        <v>2.0132335572853322E-5</v>
      </c>
    </row>
    <row r="377" spans="7:15" x14ac:dyDescent="0.25">
      <c r="G377" s="23">
        <v>41460</v>
      </c>
      <c r="H377" s="22">
        <v>481.37889999999999</v>
      </c>
      <c r="I377">
        <f t="shared" si="10"/>
        <v>-7.3132913461104732E-3</v>
      </c>
      <c r="J377" s="23">
        <v>41460</v>
      </c>
      <c r="K377" s="22">
        <v>666.47500000000002</v>
      </c>
      <c r="L377">
        <f t="shared" si="10"/>
        <v>-1.9226999445458581E-3</v>
      </c>
      <c r="M377" s="23">
        <v>41436</v>
      </c>
      <c r="N377" s="22">
        <v>680.50289999999995</v>
      </c>
      <c r="O377">
        <f t="shared" si="11"/>
        <v>-1.1902820086673316E-5</v>
      </c>
    </row>
    <row r="378" spans="7:15" x14ac:dyDescent="0.25">
      <c r="G378" s="23">
        <v>41463</v>
      </c>
      <c r="H378" s="22">
        <v>480.85390000000001</v>
      </c>
      <c r="I378">
        <f t="shared" si="10"/>
        <v>-1.0906169755259265E-3</v>
      </c>
      <c r="J378" s="23">
        <v>41463</v>
      </c>
      <c r="K378" s="22">
        <v>666.47050000000002</v>
      </c>
      <c r="L378">
        <f t="shared" si="10"/>
        <v>-6.7519411830474496E-6</v>
      </c>
      <c r="M378" s="23">
        <v>41437</v>
      </c>
      <c r="N378" s="22">
        <v>680.50990000000002</v>
      </c>
      <c r="O378">
        <f t="shared" si="11"/>
        <v>1.0286510167878404E-5</v>
      </c>
    </row>
    <row r="379" spans="7:15" x14ac:dyDescent="0.25">
      <c r="G379" s="23">
        <v>41464</v>
      </c>
      <c r="H379" s="22">
        <v>480.85140000000001</v>
      </c>
      <c r="I379">
        <f t="shared" si="10"/>
        <v>-5.1990843787930174E-6</v>
      </c>
      <c r="J379" s="23">
        <v>41464</v>
      </c>
      <c r="K379" s="22">
        <v>665.2319</v>
      </c>
      <c r="L379">
        <f t="shared" si="10"/>
        <v>-1.8584468479850846E-3</v>
      </c>
      <c r="M379" s="23">
        <v>41438</v>
      </c>
      <c r="N379" s="22">
        <v>753.76859999999999</v>
      </c>
      <c r="O379">
        <f t="shared" si="11"/>
        <v>0.10765265869019691</v>
      </c>
    </row>
    <row r="380" spans="7:15" x14ac:dyDescent="0.25">
      <c r="G380" s="23">
        <v>41465</v>
      </c>
      <c r="H380" s="22">
        <v>480.86070000000001</v>
      </c>
      <c r="I380">
        <f t="shared" si="10"/>
        <v>1.9340694443314987E-5</v>
      </c>
      <c r="J380" s="23">
        <v>41465</v>
      </c>
      <c r="K380" s="22">
        <v>664.9547</v>
      </c>
      <c r="L380">
        <f t="shared" si="10"/>
        <v>-4.1669679400524462E-4</v>
      </c>
      <c r="M380" s="23">
        <v>41439</v>
      </c>
      <c r="N380" s="22">
        <v>749.70280000000002</v>
      </c>
      <c r="O380">
        <f t="shared" si="11"/>
        <v>-5.3939630809772821E-3</v>
      </c>
    </row>
    <row r="381" spans="7:15" x14ac:dyDescent="0.25">
      <c r="G381" s="23">
        <v>41466</v>
      </c>
      <c r="H381" s="22">
        <v>480.2996</v>
      </c>
      <c r="I381">
        <f t="shared" si="10"/>
        <v>-1.1668659967429829E-3</v>
      </c>
      <c r="J381" s="23">
        <v>41466</v>
      </c>
      <c r="K381" s="22">
        <v>665.1318</v>
      </c>
      <c r="L381">
        <f t="shared" si="10"/>
        <v>2.6633393222130763E-4</v>
      </c>
      <c r="M381" s="23">
        <v>41442</v>
      </c>
      <c r="N381" s="22">
        <v>749.67849999999999</v>
      </c>
      <c r="O381">
        <f t="shared" si="11"/>
        <v>-3.2412844129803275E-5</v>
      </c>
    </row>
    <row r="382" spans="7:15" x14ac:dyDescent="0.25">
      <c r="G382" s="23">
        <v>41467</v>
      </c>
      <c r="H382" s="22">
        <v>479.99079999999998</v>
      </c>
      <c r="I382">
        <f t="shared" si="10"/>
        <v>-6.4293203658716269E-4</v>
      </c>
      <c r="J382" s="23">
        <v>41467</v>
      </c>
      <c r="K382" s="22">
        <v>664.62180000000001</v>
      </c>
      <c r="L382">
        <f t="shared" si="10"/>
        <v>-7.667653238049299E-4</v>
      </c>
      <c r="M382" s="23">
        <v>41443</v>
      </c>
      <c r="N382" s="22">
        <v>747.68539999999996</v>
      </c>
      <c r="O382">
        <f t="shared" si="11"/>
        <v>-2.6586063225769729E-3</v>
      </c>
    </row>
    <row r="383" spans="7:15" x14ac:dyDescent="0.25">
      <c r="G383" s="23">
        <v>41470</v>
      </c>
      <c r="H383" s="22">
        <v>479.99200000000002</v>
      </c>
      <c r="I383">
        <f t="shared" si="10"/>
        <v>2.5000479175751877E-6</v>
      </c>
      <c r="J383" s="23">
        <v>41470</v>
      </c>
      <c r="K383" s="22">
        <v>664.80790000000002</v>
      </c>
      <c r="L383">
        <f t="shared" si="10"/>
        <v>2.8000887121071294E-4</v>
      </c>
      <c r="M383" s="23">
        <v>41444</v>
      </c>
      <c r="N383" s="22">
        <v>747.68740000000003</v>
      </c>
      <c r="O383">
        <f t="shared" si="11"/>
        <v>2.6749218322574819E-6</v>
      </c>
    </row>
    <row r="384" spans="7:15" x14ac:dyDescent="0.25">
      <c r="G384" s="23">
        <v>41471</v>
      </c>
      <c r="H384" s="22">
        <v>479.99540000000002</v>
      </c>
      <c r="I384">
        <f t="shared" si="10"/>
        <v>7.0834513907769292E-6</v>
      </c>
      <c r="J384" s="23">
        <v>41471</v>
      </c>
      <c r="K384" s="22">
        <v>664.79579999999999</v>
      </c>
      <c r="L384">
        <f t="shared" si="10"/>
        <v>-1.8200746411123347E-5</v>
      </c>
      <c r="M384" s="23">
        <v>41445</v>
      </c>
      <c r="N384" s="22">
        <v>746.79679999999996</v>
      </c>
      <c r="O384">
        <f t="shared" si="11"/>
        <v>-1.1911395056276586E-3</v>
      </c>
    </row>
    <row r="385" spans="7:15" x14ac:dyDescent="0.25">
      <c r="G385" s="23">
        <v>41472</v>
      </c>
      <c r="H385" s="22">
        <v>479.95949999999999</v>
      </c>
      <c r="I385">
        <f t="shared" si="10"/>
        <v>-7.4792383427113585E-5</v>
      </c>
      <c r="J385" s="23">
        <v>41472</v>
      </c>
      <c r="K385" s="22">
        <v>664.7722</v>
      </c>
      <c r="L385">
        <f t="shared" si="10"/>
        <v>-3.5499622590862145E-5</v>
      </c>
      <c r="M385" s="23">
        <v>41446</v>
      </c>
      <c r="N385" s="22">
        <v>746.79949999999997</v>
      </c>
      <c r="O385">
        <f t="shared" si="11"/>
        <v>3.6154413087796655E-6</v>
      </c>
    </row>
    <row r="386" spans="7:15" x14ac:dyDescent="0.25">
      <c r="G386" s="23">
        <v>41473</v>
      </c>
      <c r="H386" s="22">
        <v>479.61450000000002</v>
      </c>
      <c r="I386">
        <f t="shared" si="10"/>
        <v>-7.1881064964851582E-4</v>
      </c>
      <c r="J386" s="23">
        <v>41473</v>
      </c>
      <c r="K386" s="22">
        <v>664.93730000000005</v>
      </c>
      <c r="L386">
        <f t="shared" si="10"/>
        <v>2.4835575254211761E-4</v>
      </c>
      <c r="M386" s="23">
        <v>41449</v>
      </c>
      <c r="N386" s="22">
        <v>778.48220000000003</v>
      </c>
      <c r="O386">
        <f t="shared" si="11"/>
        <v>4.2424640080771514E-2</v>
      </c>
    </row>
    <row r="387" spans="7:15" x14ac:dyDescent="0.25">
      <c r="G387" s="23">
        <v>41474</v>
      </c>
      <c r="H387" s="22">
        <v>479.60410000000002</v>
      </c>
      <c r="I387">
        <f t="shared" si="10"/>
        <v>-2.1684081694783863E-5</v>
      </c>
      <c r="J387" s="23">
        <v>41474</v>
      </c>
      <c r="K387" s="22">
        <v>664.74099999999999</v>
      </c>
      <c r="L387">
        <f t="shared" si="10"/>
        <v>-2.9521580455793561E-4</v>
      </c>
      <c r="M387" s="23">
        <v>41450</v>
      </c>
      <c r="N387" s="22">
        <v>808.37750000000005</v>
      </c>
      <c r="O387">
        <f t="shared" si="11"/>
        <v>3.8402034112019479E-2</v>
      </c>
    </row>
    <row r="388" spans="7:15" x14ac:dyDescent="0.25">
      <c r="G388" s="23">
        <v>41477</v>
      </c>
      <c r="H388" s="22">
        <v>479.61020000000002</v>
      </c>
      <c r="I388">
        <f t="shared" ref="I388:L451" si="12">H388/H387-1</f>
        <v>1.2718823713120386E-5</v>
      </c>
      <c r="J388" s="23">
        <v>41477</v>
      </c>
      <c r="K388" s="22">
        <v>664.75689999999997</v>
      </c>
      <c r="L388">
        <f t="shared" si="12"/>
        <v>2.3919090292201517E-5</v>
      </c>
      <c r="M388" s="23">
        <v>41451</v>
      </c>
      <c r="N388" s="22">
        <v>809.23440000000005</v>
      </c>
      <c r="O388">
        <f t="shared" ref="O388:O451" si="13">N388/N387-1</f>
        <v>1.0600245553593624E-3</v>
      </c>
    </row>
    <row r="389" spans="7:15" x14ac:dyDescent="0.25">
      <c r="G389" s="23">
        <v>41478</v>
      </c>
      <c r="H389" s="22">
        <v>479.36869999999999</v>
      </c>
      <c r="I389">
        <f t="shared" si="12"/>
        <v>-5.0353391149737803E-4</v>
      </c>
      <c r="J389" s="23">
        <v>41478</v>
      </c>
      <c r="K389" s="22">
        <v>664.77229999999997</v>
      </c>
      <c r="L389">
        <f t="shared" si="12"/>
        <v>2.3166363523285938E-5</v>
      </c>
      <c r="M389" s="23">
        <v>41452</v>
      </c>
      <c r="N389" s="22">
        <v>809.22529999999995</v>
      </c>
      <c r="O389">
        <f t="shared" si="13"/>
        <v>-1.1245196694709136E-5</v>
      </c>
    </row>
    <row r="390" spans="7:15" x14ac:dyDescent="0.25">
      <c r="G390" s="23">
        <v>41479</v>
      </c>
      <c r="H390" s="22">
        <v>479.39350000000002</v>
      </c>
      <c r="I390">
        <f t="shared" si="12"/>
        <v>5.1734708586659295E-5</v>
      </c>
      <c r="J390" s="23">
        <v>41479</v>
      </c>
      <c r="K390" s="22">
        <v>664.76710000000003</v>
      </c>
      <c r="L390">
        <f t="shared" si="12"/>
        <v>-7.8222272497097123E-6</v>
      </c>
      <c r="M390" s="23">
        <v>41453</v>
      </c>
      <c r="N390" s="22">
        <v>808.97450000000003</v>
      </c>
      <c r="O390">
        <f t="shared" si="13"/>
        <v>-3.0992604902480014E-4</v>
      </c>
    </row>
    <row r="391" spans="7:15" x14ac:dyDescent="0.25">
      <c r="G391" s="23">
        <v>41480</v>
      </c>
      <c r="H391" s="22">
        <v>478.548</v>
      </c>
      <c r="I391">
        <f t="shared" si="12"/>
        <v>-1.7636868251238447E-3</v>
      </c>
      <c r="J391" s="23">
        <v>41480</v>
      </c>
      <c r="K391" s="22">
        <v>664.01589999999999</v>
      </c>
      <c r="L391">
        <f t="shared" si="12"/>
        <v>-1.1300198219797997E-3</v>
      </c>
      <c r="M391" s="23">
        <v>41456</v>
      </c>
      <c r="N391" s="22">
        <v>808.97609999999997</v>
      </c>
      <c r="O391">
        <f t="shared" si="13"/>
        <v>1.9778126503222637E-6</v>
      </c>
    </row>
    <row r="392" spans="7:15" x14ac:dyDescent="0.25">
      <c r="G392" s="23">
        <v>41481</v>
      </c>
      <c r="H392" s="22">
        <v>477.84620000000001</v>
      </c>
      <c r="I392">
        <f t="shared" si="12"/>
        <v>-1.4665195549871113E-3</v>
      </c>
      <c r="J392" s="23">
        <v>41481</v>
      </c>
      <c r="K392" s="22">
        <v>664.00729999999999</v>
      </c>
      <c r="L392">
        <f t="shared" si="12"/>
        <v>-1.2951497095126108E-5</v>
      </c>
      <c r="M392" s="23">
        <v>41457</v>
      </c>
      <c r="N392" s="22">
        <v>806.45860000000005</v>
      </c>
      <c r="O392">
        <f t="shared" si="13"/>
        <v>-3.1119584373381359E-3</v>
      </c>
    </row>
    <row r="393" spans="7:15" x14ac:dyDescent="0.25">
      <c r="G393" s="23">
        <v>41484</v>
      </c>
      <c r="H393" s="22">
        <v>453.3707</v>
      </c>
      <c r="I393">
        <f t="shared" si="12"/>
        <v>-5.1220455451984392E-2</v>
      </c>
      <c r="J393" s="23">
        <v>41484</v>
      </c>
      <c r="K393" s="22">
        <v>639.64959999999996</v>
      </c>
      <c r="L393">
        <f t="shared" si="12"/>
        <v>-3.6682879841833049E-2</v>
      </c>
      <c r="M393" s="23">
        <v>41458</v>
      </c>
      <c r="N393" s="22">
        <v>776.55790000000002</v>
      </c>
      <c r="O393">
        <f t="shared" si="13"/>
        <v>-3.707654676879879E-2</v>
      </c>
    </row>
    <row r="394" spans="7:15" x14ac:dyDescent="0.25">
      <c r="G394" s="23">
        <v>41485</v>
      </c>
      <c r="H394" s="22">
        <v>443.39170000000001</v>
      </c>
      <c r="I394">
        <f t="shared" si="12"/>
        <v>-2.2010685736859492E-2</v>
      </c>
      <c r="J394" s="23">
        <v>41485</v>
      </c>
      <c r="K394" s="22">
        <v>640.16369999999995</v>
      </c>
      <c r="L394">
        <f t="shared" si="12"/>
        <v>8.0372128740480164E-4</v>
      </c>
      <c r="M394" s="23">
        <v>41459</v>
      </c>
      <c r="N394" s="22">
        <v>776.55790000000002</v>
      </c>
      <c r="O394">
        <f t="shared" si="13"/>
        <v>0</v>
      </c>
    </row>
    <row r="395" spans="7:15" x14ac:dyDescent="0.25">
      <c r="G395" s="23">
        <v>41486</v>
      </c>
      <c r="H395" s="22">
        <v>440.91480000000001</v>
      </c>
      <c r="I395">
        <f t="shared" si="12"/>
        <v>-5.5862570273642609E-3</v>
      </c>
      <c r="J395" s="23">
        <v>41486</v>
      </c>
      <c r="K395" s="22">
        <v>638.75049999999999</v>
      </c>
      <c r="L395">
        <f t="shared" si="12"/>
        <v>-2.20756034745484E-3</v>
      </c>
      <c r="M395" s="23">
        <v>41460</v>
      </c>
      <c r="N395" s="22">
        <v>776.59849999999994</v>
      </c>
      <c r="O395">
        <f t="shared" si="13"/>
        <v>5.2281999835424031E-5</v>
      </c>
    </row>
    <row r="396" spans="7:15" x14ac:dyDescent="0.25">
      <c r="G396" s="23">
        <v>41487</v>
      </c>
      <c r="H396" s="22">
        <v>440.97809999999998</v>
      </c>
      <c r="I396">
        <f t="shared" si="12"/>
        <v>1.4356515136260128E-4</v>
      </c>
      <c r="J396" s="23">
        <v>41487</v>
      </c>
      <c r="K396" s="22">
        <v>638.70169999999996</v>
      </c>
      <c r="L396">
        <f t="shared" si="12"/>
        <v>-7.639915741752823E-5</v>
      </c>
      <c r="M396" s="23">
        <v>41463</v>
      </c>
      <c r="N396" s="22">
        <v>776.54600000000005</v>
      </c>
      <c r="O396">
        <f t="shared" si="13"/>
        <v>-6.7602499875918376E-5</v>
      </c>
    </row>
    <row r="397" spans="7:15" x14ac:dyDescent="0.25">
      <c r="G397" s="23">
        <v>41488</v>
      </c>
      <c r="H397" s="22">
        <v>440.97859999999997</v>
      </c>
      <c r="I397">
        <f t="shared" si="12"/>
        <v>1.1338431544771765E-6</v>
      </c>
      <c r="J397" s="23">
        <v>41488</v>
      </c>
      <c r="K397" s="22">
        <v>638.69849999999997</v>
      </c>
      <c r="L397">
        <f t="shared" si="12"/>
        <v>-5.0101635865607008E-6</v>
      </c>
      <c r="M397" s="23">
        <v>41464</v>
      </c>
      <c r="N397" s="22">
        <v>776.01340000000005</v>
      </c>
      <c r="O397">
        <f t="shared" si="13"/>
        <v>-6.8585763109973996E-4</v>
      </c>
    </row>
    <row r="398" spans="7:15" x14ac:dyDescent="0.25">
      <c r="G398" s="23">
        <v>41491</v>
      </c>
      <c r="H398" s="22">
        <v>440.36860000000001</v>
      </c>
      <c r="I398">
        <f t="shared" si="12"/>
        <v>-1.3832870801439023E-3</v>
      </c>
      <c r="J398" s="23">
        <v>41491</v>
      </c>
      <c r="K398" s="22">
        <v>638.55070000000001</v>
      </c>
      <c r="L398">
        <f t="shared" si="12"/>
        <v>-2.314080900455151E-4</v>
      </c>
      <c r="M398" s="23">
        <v>41465</v>
      </c>
      <c r="N398" s="22">
        <v>776.02949999999998</v>
      </c>
      <c r="O398">
        <f t="shared" si="13"/>
        <v>2.0747064419124328E-5</v>
      </c>
    </row>
    <row r="399" spans="7:15" x14ac:dyDescent="0.25">
      <c r="G399" s="23">
        <v>41492</v>
      </c>
      <c r="H399" s="22">
        <v>440.36669999999998</v>
      </c>
      <c r="I399">
        <f t="shared" si="12"/>
        <v>-4.3145673874755985E-6</v>
      </c>
      <c r="J399" s="23">
        <v>41492</v>
      </c>
      <c r="K399" s="22">
        <v>638.55820000000006</v>
      </c>
      <c r="L399">
        <f t="shared" si="12"/>
        <v>1.174534770709279E-5</v>
      </c>
      <c r="M399" s="23">
        <v>41466</v>
      </c>
      <c r="N399" s="22">
        <v>775.9742</v>
      </c>
      <c r="O399">
        <f t="shared" si="13"/>
        <v>-7.126017760916703E-5</v>
      </c>
    </row>
    <row r="400" spans="7:15" x14ac:dyDescent="0.25">
      <c r="G400" s="23">
        <v>41493</v>
      </c>
      <c r="H400" s="22">
        <v>440.9529</v>
      </c>
      <c r="I400">
        <f t="shared" si="12"/>
        <v>1.3311633236574583E-3</v>
      </c>
      <c r="J400" s="23">
        <v>41493</v>
      </c>
      <c r="K400" s="22">
        <v>639.1345</v>
      </c>
      <c r="L400">
        <f t="shared" si="12"/>
        <v>9.0250191760121723E-4</v>
      </c>
      <c r="M400" s="23">
        <v>41467</v>
      </c>
      <c r="N400" s="22">
        <v>776.94899999999996</v>
      </c>
      <c r="O400">
        <f t="shared" si="13"/>
        <v>1.2562273333314167E-3</v>
      </c>
    </row>
    <row r="401" spans="7:15" x14ac:dyDescent="0.25">
      <c r="G401" s="23">
        <v>41494</v>
      </c>
      <c r="H401" s="22">
        <v>441.11709999999999</v>
      </c>
      <c r="I401">
        <f t="shared" si="12"/>
        <v>3.723753716100564E-4</v>
      </c>
      <c r="J401" s="23">
        <v>41494</v>
      </c>
      <c r="K401" s="22">
        <v>639.19680000000005</v>
      </c>
      <c r="L401">
        <f t="shared" si="12"/>
        <v>9.7475570478566809E-5</v>
      </c>
      <c r="M401" s="23">
        <v>41470</v>
      </c>
      <c r="N401" s="22">
        <v>776.95939999999996</v>
      </c>
      <c r="O401">
        <f t="shared" si="13"/>
        <v>1.33856919823927E-5</v>
      </c>
    </row>
    <row r="402" spans="7:15" x14ac:dyDescent="0.25">
      <c r="G402" s="23">
        <v>41495</v>
      </c>
      <c r="H402" s="22">
        <v>440.96969999999999</v>
      </c>
      <c r="I402">
        <f t="shared" si="12"/>
        <v>-3.3415163456596009E-4</v>
      </c>
      <c r="J402" s="23">
        <v>41495</v>
      </c>
      <c r="K402" s="22">
        <v>639.00789999999995</v>
      </c>
      <c r="L402">
        <f t="shared" si="12"/>
        <v>-2.9552713655656149E-4</v>
      </c>
      <c r="M402" s="23">
        <v>41471</v>
      </c>
      <c r="N402" s="22">
        <v>776.93550000000005</v>
      </c>
      <c r="O402">
        <f t="shared" si="13"/>
        <v>-3.0760938087515122E-5</v>
      </c>
    </row>
    <row r="403" spans="7:15" x14ac:dyDescent="0.25">
      <c r="G403" s="23">
        <v>41498</v>
      </c>
      <c r="H403" s="22">
        <v>440.99450000000002</v>
      </c>
      <c r="I403">
        <f t="shared" si="12"/>
        <v>5.6239691752058008E-5</v>
      </c>
      <c r="J403" s="23">
        <v>41498</v>
      </c>
      <c r="K403" s="22">
        <v>639.00099999999998</v>
      </c>
      <c r="L403">
        <f t="shared" si="12"/>
        <v>-1.0797988569399841E-5</v>
      </c>
      <c r="M403" s="23">
        <v>41472</v>
      </c>
      <c r="N403" s="22">
        <v>776.93759999999997</v>
      </c>
      <c r="O403">
        <f t="shared" si="13"/>
        <v>2.70292707682529E-6</v>
      </c>
    </row>
    <row r="404" spans="7:15" x14ac:dyDescent="0.25">
      <c r="G404" s="23">
        <v>41499</v>
      </c>
      <c r="H404" s="22">
        <v>440.99189999999999</v>
      </c>
      <c r="I404">
        <f t="shared" si="12"/>
        <v>-5.8957651399849098E-6</v>
      </c>
      <c r="J404" s="23">
        <v>41499</v>
      </c>
      <c r="K404" s="22">
        <v>639.00239999999997</v>
      </c>
      <c r="L404">
        <f t="shared" si="12"/>
        <v>2.1909198890668335E-6</v>
      </c>
      <c r="M404" s="23">
        <v>41473</v>
      </c>
      <c r="N404" s="22">
        <v>777.12070000000006</v>
      </c>
      <c r="O404">
        <f t="shared" si="13"/>
        <v>2.3566886195247605E-4</v>
      </c>
    </row>
    <row r="405" spans="7:15" x14ac:dyDescent="0.25">
      <c r="G405" s="23">
        <v>41500</v>
      </c>
      <c r="H405" s="22">
        <v>441.19499999999999</v>
      </c>
      <c r="I405">
        <f t="shared" si="12"/>
        <v>4.605526768179935E-4</v>
      </c>
      <c r="J405" s="23">
        <v>41500</v>
      </c>
      <c r="K405" s="22">
        <v>639.26430000000005</v>
      </c>
      <c r="L405">
        <f t="shared" si="12"/>
        <v>4.0985761555845102E-4</v>
      </c>
      <c r="M405" s="23">
        <v>41474</v>
      </c>
      <c r="N405" s="22">
        <v>777.11289999999997</v>
      </c>
      <c r="O405">
        <f t="shared" si="13"/>
        <v>-1.0037050872657716E-5</v>
      </c>
    </row>
    <row r="406" spans="7:15" x14ac:dyDescent="0.25">
      <c r="G406" s="23">
        <v>41501</v>
      </c>
      <c r="H406" s="22">
        <v>441.15370000000001</v>
      </c>
      <c r="I406">
        <f t="shared" si="12"/>
        <v>-9.360940173841481E-5</v>
      </c>
      <c r="J406" s="23">
        <v>41501</v>
      </c>
      <c r="K406" s="22">
        <v>639.02229999999997</v>
      </c>
      <c r="L406">
        <f t="shared" si="12"/>
        <v>-3.785601667417593E-4</v>
      </c>
      <c r="M406" s="23">
        <v>41477</v>
      </c>
      <c r="N406" s="22">
        <v>777.13260000000002</v>
      </c>
      <c r="O406">
        <f t="shared" si="13"/>
        <v>2.5350241901866966E-5</v>
      </c>
    </row>
    <row r="407" spans="7:15" x14ac:dyDescent="0.25">
      <c r="G407" s="23">
        <v>41502</v>
      </c>
      <c r="H407" s="22">
        <v>441.15179999999998</v>
      </c>
      <c r="I407">
        <f t="shared" si="12"/>
        <v>-4.3068889596931115E-6</v>
      </c>
      <c r="J407" s="23">
        <v>41502</v>
      </c>
      <c r="K407" s="22">
        <v>639.02890000000002</v>
      </c>
      <c r="L407">
        <f t="shared" si="12"/>
        <v>1.0328278058580054E-5</v>
      </c>
      <c r="M407" s="23">
        <v>41478</v>
      </c>
      <c r="N407" s="22">
        <v>777.13490000000002</v>
      </c>
      <c r="O407">
        <f t="shared" si="13"/>
        <v>2.9595978858765193E-6</v>
      </c>
    </row>
    <row r="408" spans="7:15" x14ac:dyDescent="0.25">
      <c r="G408" s="23">
        <v>41505</v>
      </c>
      <c r="H408" s="22">
        <v>441.1549</v>
      </c>
      <c r="I408">
        <f t="shared" si="12"/>
        <v>7.0270596199684121E-6</v>
      </c>
      <c r="J408" s="23">
        <v>41505</v>
      </c>
      <c r="K408" s="22">
        <v>639.03539999999998</v>
      </c>
      <c r="L408">
        <f t="shared" si="12"/>
        <v>1.0171683940907172E-5</v>
      </c>
      <c r="M408" s="23">
        <v>41479</v>
      </c>
      <c r="N408" s="22">
        <v>777.15620000000001</v>
      </c>
      <c r="O408">
        <f t="shared" si="13"/>
        <v>2.740836886871989E-5</v>
      </c>
    </row>
    <row r="409" spans="7:15" x14ac:dyDescent="0.25">
      <c r="G409" s="23">
        <v>41506</v>
      </c>
      <c r="H409" s="22">
        <v>441.15170000000001</v>
      </c>
      <c r="I409">
        <f t="shared" si="12"/>
        <v>-7.2536879902607154E-6</v>
      </c>
      <c r="J409" s="23">
        <v>41506</v>
      </c>
      <c r="K409" s="22">
        <v>639.02909999999997</v>
      </c>
      <c r="L409">
        <f t="shared" si="12"/>
        <v>-9.8586087718954829E-6</v>
      </c>
      <c r="M409" s="23">
        <v>41480</v>
      </c>
      <c r="N409" s="22">
        <v>776.25660000000005</v>
      </c>
      <c r="O409">
        <f t="shared" si="13"/>
        <v>-1.1575536552368426E-3</v>
      </c>
    </row>
    <row r="410" spans="7:15" x14ac:dyDescent="0.25">
      <c r="G410" s="23">
        <v>41507</v>
      </c>
      <c r="H410" s="22">
        <v>441.32229999999998</v>
      </c>
      <c r="I410">
        <f t="shared" si="12"/>
        <v>3.8671504609411045E-4</v>
      </c>
      <c r="J410" s="23">
        <v>41507</v>
      </c>
      <c r="K410" s="22">
        <v>639.01900000000001</v>
      </c>
      <c r="L410">
        <f t="shared" si="12"/>
        <v>-1.580522702326892E-5</v>
      </c>
      <c r="M410" s="23">
        <v>41481</v>
      </c>
      <c r="N410" s="22">
        <v>776.20719999999994</v>
      </c>
      <c r="O410">
        <f t="shared" si="13"/>
        <v>-6.3638750382399856E-5</v>
      </c>
    </row>
    <row r="411" spans="7:15" x14ac:dyDescent="0.25">
      <c r="G411" s="23">
        <v>41508</v>
      </c>
      <c r="H411" s="22">
        <v>440.92790000000002</v>
      </c>
      <c r="I411">
        <f t="shared" si="12"/>
        <v>-8.9367793107208993E-4</v>
      </c>
      <c r="J411" s="23">
        <v>41508</v>
      </c>
      <c r="K411" s="22">
        <v>638.8492</v>
      </c>
      <c r="L411">
        <f t="shared" si="12"/>
        <v>-2.6571979862888284E-4</v>
      </c>
      <c r="M411" s="23">
        <v>41484</v>
      </c>
      <c r="N411" s="22">
        <v>747.48500000000001</v>
      </c>
      <c r="O411">
        <f t="shared" si="13"/>
        <v>-3.7003264076911346E-2</v>
      </c>
    </row>
    <row r="412" spans="7:15" x14ac:dyDescent="0.25">
      <c r="G412" s="23">
        <v>41509</v>
      </c>
      <c r="H412" s="22">
        <v>440.98700000000002</v>
      </c>
      <c r="I412">
        <f t="shared" si="12"/>
        <v>1.3403551918589329E-4</v>
      </c>
      <c r="J412" s="23">
        <v>41509</v>
      </c>
      <c r="K412" s="22">
        <v>638.83900000000006</v>
      </c>
      <c r="L412">
        <f t="shared" si="12"/>
        <v>-1.5966209239937079E-5</v>
      </c>
      <c r="M412" s="23">
        <v>41485</v>
      </c>
      <c r="N412" s="22">
        <v>748.27430000000004</v>
      </c>
      <c r="O412">
        <f t="shared" si="13"/>
        <v>1.0559409218915405E-3</v>
      </c>
    </row>
    <row r="413" spans="7:15" x14ac:dyDescent="0.25">
      <c r="G413" s="23">
        <v>41512</v>
      </c>
      <c r="H413" s="22">
        <v>440.96609999999998</v>
      </c>
      <c r="I413">
        <f t="shared" si="12"/>
        <v>-4.7393687342300872E-5</v>
      </c>
      <c r="J413" s="23">
        <v>41512</v>
      </c>
      <c r="K413" s="22">
        <v>638.83280000000002</v>
      </c>
      <c r="L413">
        <f t="shared" si="12"/>
        <v>-9.7051056683339354E-6</v>
      </c>
      <c r="M413" s="23">
        <v>41486</v>
      </c>
      <c r="N413" s="22">
        <v>741.35540000000003</v>
      </c>
      <c r="O413">
        <f t="shared" si="13"/>
        <v>-9.2464755237484653E-3</v>
      </c>
    </row>
    <row r="414" spans="7:15" x14ac:dyDescent="0.25">
      <c r="G414" s="23">
        <v>41513</v>
      </c>
      <c r="H414" s="22">
        <v>440.94819999999999</v>
      </c>
      <c r="I414">
        <f t="shared" si="12"/>
        <v>-4.0592689551366412E-5</v>
      </c>
      <c r="J414" s="23">
        <v>41513</v>
      </c>
      <c r="K414" s="22">
        <v>638.95889999999997</v>
      </c>
      <c r="L414">
        <f t="shared" si="12"/>
        <v>1.9739124227813321E-4</v>
      </c>
      <c r="M414" s="23">
        <v>41487</v>
      </c>
      <c r="N414" s="22">
        <v>741.3587</v>
      </c>
      <c r="O414">
        <f t="shared" si="13"/>
        <v>4.4513063504059147E-6</v>
      </c>
    </row>
    <row r="415" spans="7:15" x14ac:dyDescent="0.25">
      <c r="G415" s="23">
        <v>41514</v>
      </c>
      <c r="H415" s="22">
        <v>440.95139999999998</v>
      </c>
      <c r="I415">
        <f t="shared" si="12"/>
        <v>7.2570882474476406E-6</v>
      </c>
      <c r="J415" s="23">
        <v>41514</v>
      </c>
      <c r="K415" s="22">
        <v>638.96220000000005</v>
      </c>
      <c r="L415">
        <f t="shared" si="12"/>
        <v>5.1646514354075634E-6</v>
      </c>
      <c r="M415" s="23">
        <v>41488</v>
      </c>
      <c r="N415" s="22">
        <v>741.34889999999996</v>
      </c>
      <c r="O415">
        <f t="shared" si="13"/>
        <v>-1.3218972138684393E-5</v>
      </c>
    </row>
    <row r="416" spans="7:15" x14ac:dyDescent="0.25">
      <c r="G416" s="23">
        <v>41515</v>
      </c>
      <c r="H416" s="22">
        <v>441.00290000000001</v>
      </c>
      <c r="I416">
        <f t="shared" si="12"/>
        <v>1.1679291640764866E-4</v>
      </c>
      <c r="J416" s="23">
        <v>41515</v>
      </c>
      <c r="K416" s="22">
        <v>638.97379999999998</v>
      </c>
      <c r="L416">
        <f t="shared" si="12"/>
        <v>1.8154438556683417E-5</v>
      </c>
      <c r="M416" s="23">
        <v>41491</v>
      </c>
      <c r="N416" s="22">
        <v>741.05050000000006</v>
      </c>
      <c r="O416">
        <f t="shared" si="13"/>
        <v>-4.0250953363507591E-4</v>
      </c>
    </row>
    <row r="417" spans="7:15" x14ac:dyDescent="0.25">
      <c r="G417" s="23">
        <v>41516</v>
      </c>
      <c r="H417" s="22">
        <v>440.85250000000002</v>
      </c>
      <c r="I417">
        <f t="shared" si="12"/>
        <v>-3.4104084122799083E-4</v>
      </c>
      <c r="J417" s="23">
        <v>41516</v>
      </c>
      <c r="K417" s="22">
        <v>639.44669999999996</v>
      </c>
      <c r="L417">
        <f t="shared" si="12"/>
        <v>7.4009294277788129E-4</v>
      </c>
      <c r="M417" s="23">
        <v>41492</v>
      </c>
      <c r="N417" s="22">
        <v>741.05269999999996</v>
      </c>
      <c r="O417">
        <f t="shared" si="13"/>
        <v>2.968758539223515E-6</v>
      </c>
    </row>
    <row r="418" spans="7:15" x14ac:dyDescent="0.25">
      <c r="G418" s="23">
        <v>41520</v>
      </c>
      <c r="H418" s="22">
        <v>440.85680000000002</v>
      </c>
      <c r="I418">
        <f t="shared" si="12"/>
        <v>9.7538292285204165E-6</v>
      </c>
      <c r="J418" s="23">
        <v>41520</v>
      </c>
      <c r="K418" s="22">
        <v>639.4461</v>
      </c>
      <c r="L418">
        <f t="shared" si="12"/>
        <v>-9.3831119929443929E-7</v>
      </c>
      <c r="M418" s="23">
        <v>41493</v>
      </c>
      <c r="N418" s="22">
        <v>741.03440000000001</v>
      </c>
      <c r="O418">
        <f t="shared" si="13"/>
        <v>-2.4694599992658439E-5</v>
      </c>
    </row>
    <row r="419" spans="7:15" x14ac:dyDescent="0.25">
      <c r="G419" s="23">
        <v>41521</v>
      </c>
      <c r="H419" s="22">
        <v>440.88670000000002</v>
      </c>
      <c r="I419">
        <f t="shared" si="12"/>
        <v>6.7822476595535974E-5</v>
      </c>
      <c r="J419" s="23">
        <v>41521</v>
      </c>
      <c r="K419" s="22">
        <v>639.09670000000006</v>
      </c>
      <c r="L419">
        <f t="shared" si="12"/>
        <v>-5.4641040112679562E-4</v>
      </c>
      <c r="M419" s="23">
        <v>41494</v>
      </c>
      <c r="N419" s="22">
        <v>741.03440000000001</v>
      </c>
      <c r="O419">
        <f t="shared" si="13"/>
        <v>0</v>
      </c>
    </row>
    <row r="420" spans="7:15" x14ac:dyDescent="0.25">
      <c r="G420" s="23">
        <v>41522</v>
      </c>
      <c r="H420" s="22">
        <v>441.10890000000001</v>
      </c>
      <c r="I420">
        <f t="shared" si="12"/>
        <v>5.0398435697873722E-4</v>
      </c>
      <c r="J420" s="23">
        <v>41522</v>
      </c>
      <c r="K420" s="22">
        <v>639.09410000000003</v>
      </c>
      <c r="L420">
        <f t="shared" si="12"/>
        <v>-4.0682419421012028E-6</v>
      </c>
      <c r="M420" s="23">
        <v>41495</v>
      </c>
      <c r="N420" s="22">
        <v>741.03380000000004</v>
      </c>
      <c r="O420">
        <f t="shared" si="13"/>
        <v>-8.0967901083806026E-7</v>
      </c>
    </row>
    <row r="421" spans="7:15" x14ac:dyDescent="0.25">
      <c r="G421" s="23">
        <v>41523</v>
      </c>
      <c r="H421" s="22">
        <v>441.11399999999998</v>
      </c>
      <c r="I421">
        <f t="shared" si="12"/>
        <v>1.1561770800749827E-5</v>
      </c>
      <c r="J421" s="23">
        <v>41523</v>
      </c>
      <c r="K421" s="22">
        <v>638.47810000000004</v>
      </c>
      <c r="L421">
        <f t="shared" si="12"/>
        <v>-9.6386431982398157E-4</v>
      </c>
      <c r="M421" s="23">
        <v>41498</v>
      </c>
      <c r="N421" s="22">
        <v>738.78150000000005</v>
      </c>
      <c r="O421">
        <f t="shared" si="13"/>
        <v>-3.039402521180512E-3</v>
      </c>
    </row>
    <row r="422" spans="7:15" x14ac:dyDescent="0.25">
      <c r="G422" s="23">
        <v>41526</v>
      </c>
      <c r="H422" s="22">
        <v>441.10739999999998</v>
      </c>
      <c r="I422">
        <f t="shared" si="12"/>
        <v>-1.4962118635941657E-5</v>
      </c>
      <c r="J422" s="23">
        <v>41526</v>
      </c>
      <c r="K422" s="22">
        <v>638.47649999999999</v>
      </c>
      <c r="L422">
        <f t="shared" si="12"/>
        <v>-2.5059590924580988E-6</v>
      </c>
      <c r="M422" s="23">
        <v>41499</v>
      </c>
      <c r="N422" s="22">
        <v>738.78890000000001</v>
      </c>
      <c r="O422">
        <f t="shared" si="13"/>
        <v>1.0016493374509494E-5</v>
      </c>
    </row>
    <row r="423" spans="7:15" x14ac:dyDescent="0.25">
      <c r="G423" s="23">
        <v>41527</v>
      </c>
      <c r="H423" s="22">
        <v>441.11430000000001</v>
      </c>
      <c r="I423">
        <f t="shared" si="12"/>
        <v>1.5642448981889601E-5</v>
      </c>
      <c r="J423" s="23">
        <v>41527</v>
      </c>
      <c r="K423" s="22">
        <v>638.47389999999996</v>
      </c>
      <c r="L423">
        <f t="shared" si="12"/>
        <v>-4.0721937299981192E-6</v>
      </c>
      <c r="M423" s="23">
        <v>41500</v>
      </c>
      <c r="N423" s="22">
        <v>738.78200000000004</v>
      </c>
      <c r="O423">
        <f t="shared" si="13"/>
        <v>-9.3396097314846216E-6</v>
      </c>
    </row>
    <row r="424" spans="7:15" x14ac:dyDescent="0.25">
      <c r="G424" s="23">
        <v>41528</v>
      </c>
      <c r="H424" s="22">
        <v>441.11219999999997</v>
      </c>
      <c r="I424">
        <f t="shared" si="12"/>
        <v>-4.7606708738490155E-6</v>
      </c>
      <c r="J424" s="23">
        <v>41528</v>
      </c>
      <c r="K424" s="22">
        <v>638.47630000000004</v>
      </c>
      <c r="L424">
        <f t="shared" si="12"/>
        <v>3.7589633656853749E-6</v>
      </c>
      <c r="M424" s="23">
        <v>41501</v>
      </c>
      <c r="N424" s="22">
        <v>739.06970000000001</v>
      </c>
      <c r="O424">
        <f t="shared" si="13"/>
        <v>3.8942475588199521E-4</v>
      </c>
    </row>
    <row r="425" spans="7:15" x14ac:dyDescent="0.25">
      <c r="G425" s="23">
        <v>41529</v>
      </c>
      <c r="H425" s="22">
        <v>441.26960000000003</v>
      </c>
      <c r="I425">
        <f t="shared" si="12"/>
        <v>3.5682531564540376E-4</v>
      </c>
      <c r="J425" s="23">
        <v>41529</v>
      </c>
      <c r="K425" s="22">
        <v>638.5068</v>
      </c>
      <c r="L425">
        <f t="shared" si="12"/>
        <v>4.7769979872436252E-5</v>
      </c>
      <c r="M425" s="23">
        <v>41502</v>
      </c>
      <c r="N425" s="22">
        <v>739.07730000000004</v>
      </c>
      <c r="O425">
        <f t="shared" si="13"/>
        <v>1.0283197917626552E-5</v>
      </c>
    </row>
    <row r="426" spans="7:15" x14ac:dyDescent="0.25">
      <c r="G426" s="23">
        <v>41530</v>
      </c>
      <c r="H426" s="22">
        <v>441.27019999999999</v>
      </c>
      <c r="I426">
        <f t="shared" si="12"/>
        <v>1.3597129735476443E-6</v>
      </c>
      <c r="J426" s="23">
        <v>41530</v>
      </c>
      <c r="K426" s="22">
        <v>638.50509999999997</v>
      </c>
      <c r="L426">
        <f t="shared" si="12"/>
        <v>-2.6624618563175773E-6</v>
      </c>
      <c r="M426" s="23">
        <v>41505</v>
      </c>
      <c r="N426" s="22">
        <v>739.07240000000002</v>
      </c>
      <c r="O426">
        <f t="shared" si="13"/>
        <v>-6.6298883757420768E-6</v>
      </c>
    </row>
    <row r="427" spans="7:15" x14ac:dyDescent="0.25">
      <c r="G427" s="23">
        <v>41533</v>
      </c>
      <c r="H427" s="22">
        <v>441.279</v>
      </c>
      <c r="I427">
        <f t="shared" si="12"/>
        <v>1.9942429831054653E-5</v>
      </c>
      <c r="J427" s="23">
        <v>41533</v>
      </c>
      <c r="K427" s="22">
        <v>638.50540000000001</v>
      </c>
      <c r="L427">
        <f t="shared" si="12"/>
        <v>4.6984746093770013E-7</v>
      </c>
      <c r="M427" s="23">
        <v>41506</v>
      </c>
      <c r="N427" s="22">
        <v>739.0729</v>
      </c>
      <c r="O427">
        <f t="shared" si="13"/>
        <v>6.7652370727699918E-7</v>
      </c>
    </row>
    <row r="428" spans="7:15" x14ac:dyDescent="0.25">
      <c r="G428" s="23">
        <v>41534</v>
      </c>
      <c r="H428" s="22">
        <v>441.2645</v>
      </c>
      <c r="I428">
        <f t="shared" si="12"/>
        <v>-3.2859030227982977E-5</v>
      </c>
      <c r="J428" s="23">
        <v>41534</v>
      </c>
      <c r="K428" s="22">
        <v>638.50930000000005</v>
      </c>
      <c r="L428">
        <f t="shared" si="12"/>
        <v>6.1080141218194939E-6</v>
      </c>
      <c r="M428" s="23">
        <v>41507</v>
      </c>
      <c r="N428" s="22">
        <v>739.14549999999997</v>
      </c>
      <c r="O428">
        <f t="shared" si="13"/>
        <v>9.8231175841956286E-5</v>
      </c>
    </row>
    <row r="429" spans="7:15" x14ac:dyDescent="0.25">
      <c r="G429" s="23">
        <v>41535</v>
      </c>
      <c r="H429" s="22">
        <v>441.17599999999999</v>
      </c>
      <c r="I429">
        <f t="shared" si="12"/>
        <v>-2.0055998159840271E-4</v>
      </c>
      <c r="J429" s="23">
        <v>41535</v>
      </c>
      <c r="K429" s="22">
        <v>638.4701</v>
      </c>
      <c r="L429">
        <f t="shared" si="12"/>
        <v>-6.1392997721454456E-5</v>
      </c>
      <c r="M429" s="23">
        <v>41508</v>
      </c>
      <c r="N429" s="22">
        <v>739.15170000000001</v>
      </c>
      <c r="O429">
        <f t="shared" si="13"/>
        <v>8.3880643255707099E-6</v>
      </c>
    </row>
    <row r="430" spans="7:15" x14ac:dyDescent="0.25">
      <c r="G430" s="23">
        <v>41536</v>
      </c>
      <c r="H430" s="22">
        <v>441.1798</v>
      </c>
      <c r="I430">
        <f t="shared" si="12"/>
        <v>8.6133425210022097E-6</v>
      </c>
      <c r="J430" s="23">
        <v>41536</v>
      </c>
      <c r="K430" s="22">
        <v>638.29830000000004</v>
      </c>
      <c r="L430">
        <f t="shared" si="12"/>
        <v>-2.69080729074056E-4</v>
      </c>
      <c r="M430" s="23">
        <v>41509</v>
      </c>
      <c r="N430" s="22">
        <v>739.15179999999998</v>
      </c>
      <c r="O430">
        <f t="shared" si="13"/>
        <v>1.3529022524494394E-7</v>
      </c>
    </row>
    <row r="431" spans="7:15" x14ac:dyDescent="0.25">
      <c r="G431" s="23">
        <v>41537</v>
      </c>
      <c r="H431" s="22">
        <v>440.6619</v>
      </c>
      <c r="I431">
        <f t="shared" si="12"/>
        <v>-1.173897807651203E-3</v>
      </c>
      <c r="J431" s="23">
        <v>41537</v>
      </c>
      <c r="K431" s="22">
        <v>637.99339999999995</v>
      </c>
      <c r="L431">
        <f t="shared" si="12"/>
        <v>-4.7767634662365666E-4</v>
      </c>
      <c r="M431" s="23">
        <v>41512</v>
      </c>
      <c r="N431" s="22">
        <v>739.15089999999998</v>
      </c>
      <c r="O431">
        <f t="shared" si="13"/>
        <v>-1.2176118626694432E-6</v>
      </c>
    </row>
    <row r="432" spans="7:15" x14ac:dyDescent="0.25">
      <c r="G432" s="23">
        <v>41540</v>
      </c>
      <c r="H432" s="22">
        <v>440.66120000000001</v>
      </c>
      <c r="I432">
        <f t="shared" si="12"/>
        <v>-1.5885194522002877E-6</v>
      </c>
      <c r="J432" s="23">
        <v>41540</v>
      </c>
      <c r="K432" s="22">
        <v>637.76909999999998</v>
      </c>
      <c r="L432">
        <f t="shared" si="12"/>
        <v>-3.5157103506078258E-4</v>
      </c>
      <c r="M432" s="23">
        <v>41513</v>
      </c>
      <c r="N432" s="22">
        <v>739.14949999999999</v>
      </c>
      <c r="O432">
        <f t="shared" si="13"/>
        <v>-1.8940652036780747E-6</v>
      </c>
    </row>
    <row r="433" spans="7:15" x14ac:dyDescent="0.25">
      <c r="G433" s="23">
        <v>41541</v>
      </c>
      <c r="H433" s="22">
        <v>440.67090000000002</v>
      </c>
      <c r="I433">
        <f t="shared" si="12"/>
        <v>2.2012375947788598E-5</v>
      </c>
      <c r="J433" s="23">
        <v>41541</v>
      </c>
      <c r="K433" s="22">
        <v>637.82169999999996</v>
      </c>
      <c r="L433">
        <f t="shared" si="12"/>
        <v>8.2474989772984841E-5</v>
      </c>
      <c r="M433" s="23">
        <v>41514</v>
      </c>
      <c r="N433" s="22">
        <v>739.15369999999996</v>
      </c>
      <c r="O433">
        <f t="shared" si="13"/>
        <v>5.6822063736472472E-6</v>
      </c>
    </row>
    <row r="434" spans="7:15" x14ac:dyDescent="0.25">
      <c r="G434" s="23">
        <v>41542</v>
      </c>
      <c r="H434" s="22">
        <v>438.35329999999999</v>
      </c>
      <c r="I434">
        <f t="shared" si="12"/>
        <v>-5.2592535608773083E-3</v>
      </c>
      <c r="J434" s="23">
        <v>41542</v>
      </c>
      <c r="K434" s="22">
        <v>632.81269999999995</v>
      </c>
      <c r="L434">
        <f t="shared" si="12"/>
        <v>-7.8532919152798364E-3</v>
      </c>
      <c r="M434" s="23">
        <v>41515</v>
      </c>
      <c r="N434" s="22">
        <v>739.16049999999996</v>
      </c>
      <c r="O434">
        <f t="shared" si="13"/>
        <v>9.1997104256780204E-6</v>
      </c>
    </row>
    <row r="435" spans="7:15" x14ac:dyDescent="0.25">
      <c r="G435" s="23">
        <v>41543</v>
      </c>
      <c r="H435" s="22">
        <v>438.3202</v>
      </c>
      <c r="I435">
        <f t="shared" si="12"/>
        <v>-7.5509868409762149E-5</v>
      </c>
      <c r="J435" s="23">
        <v>41543</v>
      </c>
      <c r="K435" s="22">
        <v>632.81370000000004</v>
      </c>
      <c r="L435">
        <f t="shared" si="12"/>
        <v>1.5802464143899186E-6</v>
      </c>
      <c r="M435" s="23">
        <v>41516</v>
      </c>
      <c r="N435" s="22">
        <v>740.73159999999996</v>
      </c>
      <c r="O435">
        <f t="shared" si="13"/>
        <v>2.1255194237246311E-3</v>
      </c>
    </row>
    <row r="436" spans="7:15" x14ac:dyDescent="0.25">
      <c r="G436" s="23">
        <v>41544</v>
      </c>
      <c r="H436" s="22">
        <v>438.34710000000001</v>
      </c>
      <c r="I436">
        <f t="shared" si="12"/>
        <v>6.1370660079163031E-5</v>
      </c>
      <c r="J436" s="23">
        <v>41544</v>
      </c>
      <c r="K436" s="22">
        <v>632.81039999999996</v>
      </c>
      <c r="L436">
        <f t="shared" si="12"/>
        <v>-5.2148049261013796E-6</v>
      </c>
      <c r="M436" s="23">
        <v>41519</v>
      </c>
      <c r="N436" s="22">
        <v>740.73159999999996</v>
      </c>
      <c r="O436">
        <f t="shared" si="13"/>
        <v>0</v>
      </c>
    </row>
    <row r="437" spans="7:15" x14ac:dyDescent="0.25">
      <c r="G437" s="23">
        <v>41547</v>
      </c>
      <c r="H437" s="22">
        <v>437.73700000000002</v>
      </c>
      <c r="I437">
        <f t="shared" si="12"/>
        <v>-1.3918194052155997E-3</v>
      </c>
      <c r="J437" s="23">
        <v>41547</v>
      </c>
      <c r="K437" s="22">
        <v>632.89110000000005</v>
      </c>
      <c r="L437">
        <f t="shared" si="12"/>
        <v>1.2752634912471805E-4</v>
      </c>
      <c r="M437" s="23">
        <v>41520</v>
      </c>
      <c r="N437" s="22">
        <v>740.73180000000002</v>
      </c>
      <c r="O437">
        <f t="shared" si="13"/>
        <v>2.7000333191473658E-7</v>
      </c>
    </row>
    <row r="438" spans="7:15" x14ac:dyDescent="0.25">
      <c r="G438" s="23">
        <v>41548</v>
      </c>
      <c r="H438" s="22">
        <v>437.65019999999998</v>
      </c>
      <c r="I438">
        <f t="shared" si="12"/>
        <v>-1.9829258207559874E-4</v>
      </c>
      <c r="J438" s="23">
        <v>41548</v>
      </c>
      <c r="K438" s="22">
        <v>632.88959999999997</v>
      </c>
      <c r="L438">
        <f t="shared" si="12"/>
        <v>-2.3700759894662582E-6</v>
      </c>
      <c r="M438" s="23">
        <v>41521</v>
      </c>
      <c r="N438" s="22">
        <v>740.31240000000003</v>
      </c>
      <c r="O438">
        <f t="shared" si="13"/>
        <v>-5.6619683399583565E-4</v>
      </c>
    </row>
    <row r="439" spans="7:15" x14ac:dyDescent="0.25">
      <c r="G439" s="23">
        <v>41549</v>
      </c>
      <c r="H439" s="22">
        <v>437.71960000000001</v>
      </c>
      <c r="I439">
        <f t="shared" si="12"/>
        <v>1.585741306642241E-4</v>
      </c>
      <c r="J439" s="23">
        <v>41549</v>
      </c>
      <c r="K439" s="22">
        <v>633.0181</v>
      </c>
      <c r="L439">
        <f t="shared" si="12"/>
        <v>2.0303699096979599E-4</v>
      </c>
      <c r="M439" s="23">
        <v>41522</v>
      </c>
      <c r="N439" s="22">
        <v>740.31119999999999</v>
      </c>
      <c r="O439">
        <f t="shared" si="13"/>
        <v>-1.6209373232545232E-6</v>
      </c>
    </row>
    <row r="440" spans="7:15" x14ac:dyDescent="0.25">
      <c r="G440" s="23">
        <v>41550</v>
      </c>
      <c r="H440" s="22">
        <v>437.75889999999998</v>
      </c>
      <c r="I440">
        <f t="shared" si="12"/>
        <v>8.9783505239360295E-5</v>
      </c>
      <c r="J440" s="23">
        <v>41550</v>
      </c>
      <c r="K440" s="22">
        <v>633.24210000000005</v>
      </c>
      <c r="L440">
        <f t="shared" si="12"/>
        <v>3.5386033985451704E-4</v>
      </c>
      <c r="M440" s="23">
        <v>41523</v>
      </c>
      <c r="N440" s="22">
        <v>740.30820000000006</v>
      </c>
      <c r="O440">
        <f t="shared" si="13"/>
        <v>-4.0523498765487886E-6</v>
      </c>
    </row>
    <row r="441" spans="7:15" x14ac:dyDescent="0.25">
      <c r="G441" s="23">
        <v>41551</v>
      </c>
      <c r="H441" s="22">
        <v>438.07909999999998</v>
      </c>
      <c r="I441">
        <f t="shared" si="12"/>
        <v>7.3145286138109888E-4</v>
      </c>
      <c r="J441" s="23">
        <v>41551</v>
      </c>
      <c r="K441" s="22">
        <v>633.41210000000001</v>
      </c>
      <c r="L441">
        <f t="shared" si="12"/>
        <v>2.6845972496136739E-4</v>
      </c>
      <c r="M441" s="23">
        <v>41526</v>
      </c>
      <c r="N441" s="22">
        <v>740.30740000000003</v>
      </c>
      <c r="O441">
        <f t="shared" si="13"/>
        <v>-1.080631012895239E-6</v>
      </c>
    </row>
    <row r="442" spans="7:15" x14ac:dyDescent="0.25">
      <c r="G442" s="23">
        <v>41554</v>
      </c>
      <c r="H442" s="22">
        <v>438.06580000000002</v>
      </c>
      <c r="I442">
        <f t="shared" si="12"/>
        <v>-3.0359814015223918E-5</v>
      </c>
      <c r="J442" s="23">
        <v>41554</v>
      </c>
      <c r="K442" s="22">
        <v>633.33360000000005</v>
      </c>
      <c r="L442">
        <f t="shared" si="12"/>
        <v>-1.2393195519944111E-4</v>
      </c>
      <c r="M442" s="23">
        <v>41527</v>
      </c>
      <c r="N442" s="22">
        <v>740.30930000000001</v>
      </c>
      <c r="O442">
        <f t="shared" si="13"/>
        <v>2.5665014289355526E-6</v>
      </c>
    </row>
    <row r="443" spans="7:15" x14ac:dyDescent="0.25">
      <c r="G443" s="23">
        <v>41555</v>
      </c>
      <c r="H443" s="22">
        <v>438.06400000000002</v>
      </c>
      <c r="I443">
        <f t="shared" si="12"/>
        <v>-4.1089717571773932E-6</v>
      </c>
      <c r="J443" s="23">
        <v>41555</v>
      </c>
      <c r="K443" s="22">
        <v>633.42470000000003</v>
      </c>
      <c r="L443">
        <f t="shared" si="12"/>
        <v>1.4384204469797268E-4</v>
      </c>
      <c r="M443" s="23">
        <v>41528</v>
      </c>
      <c r="N443" s="22">
        <v>740.30250000000001</v>
      </c>
      <c r="O443">
        <f t="shared" si="13"/>
        <v>-9.1853499611938005E-6</v>
      </c>
    </row>
    <row r="444" spans="7:15" x14ac:dyDescent="0.25">
      <c r="G444" s="23">
        <v>41556</v>
      </c>
      <c r="H444" s="22">
        <v>439.1927</v>
      </c>
      <c r="I444">
        <f t="shared" si="12"/>
        <v>2.5765641550092866E-3</v>
      </c>
      <c r="J444" s="23">
        <v>41556</v>
      </c>
      <c r="K444" s="22">
        <v>633.46349999999995</v>
      </c>
      <c r="L444">
        <f t="shared" si="12"/>
        <v>6.1254321152892643E-5</v>
      </c>
      <c r="M444" s="23">
        <v>41529</v>
      </c>
      <c r="N444" s="22">
        <v>740.30319999999995</v>
      </c>
      <c r="O444">
        <f t="shared" si="13"/>
        <v>9.4555941654306253E-7</v>
      </c>
    </row>
    <row r="445" spans="7:15" x14ac:dyDescent="0.25">
      <c r="G445" s="23">
        <v>41557</v>
      </c>
      <c r="H445" s="22">
        <v>438.55950000000001</v>
      </c>
      <c r="I445">
        <f t="shared" si="12"/>
        <v>-1.4417361672905971E-3</v>
      </c>
      <c r="J445" s="23">
        <v>41557</v>
      </c>
      <c r="K445" s="22">
        <v>633.58849999999995</v>
      </c>
      <c r="L445">
        <f t="shared" si="12"/>
        <v>1.9732786498360966E-4</v>
      </c>
      <c r="M445" s="23">
        <v>41530</v>
      </c>
      <c r="N445" s="22">
        <v>740.29390000000001</v>
      </c>
      <c r="O445">
        <f t="shared" si="13"/>
        <v>-1.2562420370398897E-5</v>
      </c>
    </row>
    <row r="446" spans="7:15" x14ac:dyDescent="0.25">
      <c r="G446" s="23">
        <v>41558</v>
      </c>
      <c r="H446" s="22">
        <v>438.6773</v>
      </c>
      <c r="I446">
        <f t="shared" si="12"/>
        <v>2.6860665428518615E-4</v>
      </c>
      <c r="J446" s="23">
        <v>41558</v>
      </c>
      <c r="K446" s="22">
        <v>633.44539999999995</v>
      </c>
      <c r="L446">
        <f t="shared" si="12"/>
        <v>-2.258563720775042E-4</v>
      </c>
      <c r="M446" s="23">
        <v>41533</v>
      </c>
      <c r="N446" s="22">
        <v>740.30150000000003</v>
      </c>
      <c r="O446">
        <f t="shared" si="13"/>
        <v>1.0266192926877693E-5</v>
      </c>
    </row>
    <row r="447" spans="7:15" x14ac:dyDescent="0.25">
      <c r="G447" s="23">
        <v>41562</v>
      </c>
      <c r="H447" s="22">
        <v>438.93290000000002</v>
      </c>
      <c r="I447">
        <f t="shared" si="12"/>
        <v>5.8266064827150466E-4</v>
      </c>
      <c r="J447" s="23">
        <v>41562</v>
      </c>
      <c r="K447" s="22">
        <v>633.2867</v>
      </c>
      <c r="L447">
        <f t="shared" si="12"/>
        <v>-2.5053461592738913E-4</v>
      </c>
      <c r="M447" s="23">
        <v>41534</v>
      </c>
      <c r="N447" s="22">
        <v>740.2749</v>
      </c>
      <c r="O447">
        <f t="shared" si="13"/>
        <v>-3.593130636647679E-5</v>
      </c>
    </row>
    <row r="448" spans="7:15" x14ac:dyDescent="0.25">
      <c r="G448" s="23">
        <v>41563</v>
      </c>
      <c r="H448" s="22">
        <v>439.14069999999998</v>
      </c>
      <c r="I448">
        <f t="shared" si="12"/>
        <v>4.7342088050350561E-4</v>
      </c>
      <c r="J448" s="23">
        <v>41563</v>
      </c>
      <c r="K448" s="22">
        <v>633.8768</v>
      </c>
      <c r="L448">
        <f t="shared" si="12"/>
        <v>9.3180545241211554E-4</v>
      </c>
      <c r="M448" s="23">
        <v>41535</v>
      </c>
      <c r="N448" s="22">
        <v>740.28219999999999</v>
      </c>
      <c r="O448">
        <f t="shared" si="13"/>
        <v>9.8612015617671744E-6</v>
      </c>
    </row>
    <row r="449" spans="7:15" x14ac:dyDescent="0.25">
      <c r="G449" s="23">
        <v>41564</v>
      </c>
      <c r="H449" s="22">
        <v>437.9812</v>
      </c>
      <c r="I449">
        <f t="shared" si="12"/>
        <v>-2.6403838223147957E-3</v>
      </c>
      <c r="J449" s="23">
        <v>41564</v>
      </c>
      <c r="K449" s="22">
        <v>632.76670000000001</v>
      </c>
      <c r="L449">
        <f t="shared" si="12"/>
        <v>-1.7512866853621745E-3</v>
      </c>
      <c r="M449" s="23">
        <v>41536</v>
      </c>
      <c r="N449" s="22">
        <v>740.17809999999997</v>
      </c>
      <c r="O449">
        <f t="shared" si="13"/>
        <v>-1.4062204926712507E-4</v>
      </c>
    </row>
    <row r="450" spans="7:15" x14ac:dyDescent="0.25">
      <c r="G450" s="23">
        <v>41565</v>
      </c>
      <c r="H450" s="22">
        <v>438.36610000000002</v>
      </c>
      <c r="I450">
        <f t="shared" si="12"/>
        <v>8.7880484367830469E-4</v>
      </c>
      <c r="J450" s="23">
        <v>41565</v>
      </c>
      <c r="K450" s="22">
        <v>633.33460000000002</v>
      </c>
      <c r="L450">
        <f t="shared" si="12"/>
        <v>8.9748717813376011E-4</v>
      </c>
      <c r="M450" s="23">
        <v>41537</v>
      </c>
      <c r="N450" s="22">
        <v>738.32910000000004</v>
      </c>
      <c r="O450">
        <f t="shared" si="13"/>
        <v>-2.4980474293956334E-3</v>
      </c>
    </row>
    <row r="451" spans="7:15" x14ac:dyDescent="0.25">
      <c r="G451" s="23">
        <v>41568</v>
      </c>
      <c r="H451" s="22">
        <v>453.20229999999998</v>
      </c>
      <c r="I451">
        <f t="shared" si="12"/>
        <v>3.3844314147467136E-2</v>
      </c>
      <c r="J451" s="23">
        <v>41568</v>
      </c>
      <c r="K451" s="22">
        <v>643.18179999999995</v>
      </c>
      <c r="L451">
        <f t="shared" si="12"/>
        <v>1.5548179429956788E-2</v>
      </c>
      <c r="M451" s="23">
        <v>41540</v>
      </c>
      <c r="N451" s="22">
        <v>738.32979999999998</v>
      </c>
      <c r="O451">
        <f t="shared" si="13"/>
        <v>9.4808670003665441E-7</v>
      </c>
    </row>
    <row r="452" spans="7:15" x14ac:dyDescent="0.25">
      <c r="G452" s="23">
        <v>41569</v>
      </c>
      <c r="H452" s="22">
        <v>453.17340000000002</v>
      </c>
      <c r="I452">
        <f t="shared" ref="I452:L515" si="14">H452/H451-1</f>
        <v>-6.3768431890043331E-5</v>
      </c>
      <c r="J452" s="23">
        <v>41569</v>
      </c>
      <c r="K452" s="22">
        <v>643.19010000000003</v>
      </c>
      <c r="L452">
        <f t="shared" si="14"/>
        <v>1.2904594004492509E-5</v>
      </c>
      <c r="M452" s="23">
        <v>41541</v>
      </c>
      <c r="N452" s="22">
        <v>738.3306</v>
      </c>
      <c r="O452">
        <f t="shared" ref="O452:O515" si="15">N452/N451-1</f>
        <v>1.0835266299746849E-6</v>
      </c>
    </row>
    <row r="453" spans="7:15" x14ac:dyDescent="0.25">
      <c r="G453" s="23">
        <v>41570</v>
      </c>
      <c r="H453" s="22">
        <v>452.63810000000001</v>
      </c>
      <c r="I453">
        <f t="shared" si="14"/>
        <v>-1.1812255529560778E-3</v>
      </c>
      <c r="J453" s="23">
        <v>41570</v>
      </c>
      <c r="K453" s="22">
        <v>642.80939999999998</v>
      </c>
      <c r="L453">
        <f t="shared" si="14"/>
        <v>-5.9189343865839739E-4</v>
      </c>
      <c r="M453" s="23">
        <v>41542</v>
      </c>
      <c r="N453" s="22">
        <v>728.40660000000003</v>
      </c>
      <c r="O453">
        <f t="shared" si="15"/>
        <v>-1.3441133280944872E-2</v>
      </c>
    </row>
    <row r="454" spans="7:15" x14ac:dyDescent="0.25">
      <c r="G454" s="23">
        <v>41571</v>
      </c>
      <c r="H454" s="22">
        <v>452.53989999999999</v>
      </c>
      <c r="I454">
        <f t="shared" si="14"/>
        <v>-2.1695036277336044E-4</v>
      </c>
      <c r="J454" s="23">
        <v>41571</v>
      </c>
      <c r="K454" s="22">
        <v>641.78459999999995</v>
      </c>
      <c r="L454">
        <f t="shared" si="14"/>
        <v>-1.5942517330954642E-3</v>
      </c>
      <c r="M454" s="23">
        <v>41543</v>
      </c>
      <c r="N454" s="22">
        <v>728.42219999999998</v>
      </c>
      <c r="O454">
        <f t="shared" si="15"/>
        <v>2.141660989884997E-5</v>
      </c>
    </row>
    <row r="455" spans="7:15" x14ac:dyDescent="0.25">
      <c r="G455" s="23">
        <v>41572</v>
      </c>
      <c r="H455" s="22">
        <v>451.6694</v>
      </c>
      <c r="I455">
        <f t="shared" si="14"/>
        <v>-1.923587290314055E-3</v>
      </c>
      <c r="J455" s="23">
        <v>41572</v>
      </c>
      <c r="K455" s="22">
        <v>640.75450000000001</v>
      </c>
      <c r="L455">
        <f t="shared" si="14"/>
        <v>-1.6050556526285842E-3</v>
      </c>
      <c r="M455" s="23">
        <v>41544</v>
      </c>
      <c r="N455" s="22">
        <v>728.41499999999996</v>
      </c>
      <c r="O455">
        <f t="shared" si="15"/>
        <v>-9.8843774942736218E-6</v>
      </c>
    </row>
    <row r="456" spans="7:15" x14ac:dyDescent="0.25">
      <c r="G456" s="23">
        <v>41575</v>
      </c>
      <c r="H456" s="22">
        <v>451.6703</v>
      </c>
      <c r="I456">
        <f t="shared" si="14"/>
        <v>1.9926078675958081E-6</v>
      </c>
      <c r="J456" s="23">
        <v>41575</v>
      </c>
      <c r="K456" s="22">
        <v>640.53869999999995</v>
      </c>
      <c r="L456">
        <f t="shared" si="14"/>
        <v>-3.3679045562706733E-4</v>
      </c>
      <c r="M456" s="23">
        <v>41547</v>
      </c>
      <c r="N456" s="22">
        <v>728.73820000000001</v>
      </c>
      <c r="O456">
        <f t="shared" si="15"/>
        <v>4.4370310880470498E-4</v>
      </c>
    </row>
    <row r="457" spans="7:15" x14ac:dyDescent="0.25">
      <c r="G457" s="23">
        <v>41576</v>
      </c>
      <c r="H457" s="22">
        <v>446.58859999999999</v>
      </c>
      <c r="I457">
        <f t="shared" si="14"/>
        <v>-1.1250905804521594E-2</v>
      </c>
      <c r="J457" s="23">
        <v>41576</v>
      </c>
      <c r="K457" s="22">
        <v>638.76760000000002</v>
      </c>
      <c r="L457">
        <f t="shared" si="14"/>
        <v>-2.765016383865504E-3</v>
      </c>
      <c r="M457" s="23">
        <v>41548</v>
      </c>
      <c r="N457" s="22">
        <v>728.74850000000004</v>
      </c>
      <c r="O457">
        <f t="shared" si="15"/>
        <v>1.4134019597156211E-5</v>
      </c>
    </row>
    <row r="458" spans="7:15" x14ac:dyDescent="0.25">
      <c r="G458" s="23">
        <v>41577</v>
      </c>
      <c r="H458" s="22">
        <v>446.43180000000001</v>
      </c>
      <c r="I458">
        <f t="shared" si="14"/>
        <v>-3.511061410881311E-4</v>
      </c>
      <c r="J458" s="23">
        <v>41577</v>
      </c>
      <c r="K458" s="22">
        <v>638.47919999999999</v>
      </c>
      <c r="L458">
        <f t="shared" si="14"/>
        <v>-4.5149440892122694E-4</v>
      </c>
      <c r="M458" s="23">
        <v>41549</v>
      </c>
      <c r="N458" s="22">
        <v>728.74879999999996</v>
      </c>
      <c r="O458">
        <f t="shared" si="15"/>
        <v>4.1166465503117422E-7</v>
      </c>
    </row>
    <row r="459" spans="7:15" x14ac:dyDescent="0.25">
      <c r="G459" s="23">
        <v>41578</v>
      </c>
      <c r="H459" s="22">
        <v>446.63819999999998</v>
      </c>
      <c r="I459">
        <f t="shared" si="14"/>
        <v>4.6233265641015819E-4</v>
      </c>
      <c r="J459" s="23">
        <v>41578</v>
      </c>
      <c r="K459" s="22">
        <v>638.89409999999998</v>
      </c>
      <c r="L459">
        <f t="shared" si="14"/>
        <v>6.4982539760105595E-4</v>
      </c>
      <c r="M459" s="23">
        <v>41550</v>
      </c>
      <c r="N459" s="22">
        <v>728.28139999999996</v>
      </c>
      <c r="O459">
        <f t="shared" si="15"/>
        <v>-6.4137326881363865E-4</v>
      </c>
    </row>
    <row r="460" spans="7:15" x14ac:dyDescent="0.25">
      <c r="G460" s="23">
        <v>41579</v>
      </c>
      <c r="H460" s="22">
        <v>446.61009999999999</v>
      </c>
      <c r="I460">
        <f t="shared" si="14"/>
        <v>-6.2914457384044553E-5</v>
      </c>
      <c r="J460" s="23">
        <v>41579</v>
      </c>
      <c r="K460" s="22">
        <v>638.87580000000003</v>
      </c>
      <c r="L460">
        <f t="shared" si="14"/>
        <v>-2.8643244631587628E-5</v>
      </c>
      <c r="M460" s="23">
        <v>41551</v>
      </c>
      <c r="N460" s="22">
        <v>728.67729999999995</v>
      </c>
      <c r="O460">
        <f t="shared" si="15"/>
        <v>5.4360855570378952E-4</v>
      </c>
    </row>
    <row r="461" spans="7:15" x14ac:dyDescent="0.25">
      <c r="G461" s="23">
        <v>41582</v>
      </c>
      <c r="H461" s="22">
        <v>446.56670000000003</v>
      </c>
      <c r="I461">
        <f t="shared" si="14"/>
        <v>-9.7176485708616589E-5</v>
      </c>
      <c r="J461" s="23">
        <v>41582</v>
      </c>
      <c r="K461" s="22">
        <v>614.55709999999999</v>
      </c>
      <c r="L461">
        <f t="shared" si="14"/>
        <v>-3.8064832006471372E-2</v>
      </c>
      <c r="M461" s="23">
        <v>41554</v>
      </c>
      <c r="N461" s="22">
        <v>728.67870000000005</v>
      </c>
      <c r="O461">
        <f t="shared" si="15"/>
        <v>1.9212894377673706E-6</v>
      </c>
    </row>
    <row r="462" spans="7:15" x14ac:dyDescent="0.25">
      <c r="G462" s="23">
        <v>41583</v>
      </c>
      <c r="H462" s="22">
        <v>446.15019999999998</v>
      </c>
      <c r="I462">
        <f t="shared" si="14"/>
        <v>-9.3267142400010883E-4</v>
      </c>
      <c r="J462" s="23">
        <v>41583</v>
      </c>
      <c r="K462" s="22">
        <v>614.41690000000006</v>
      </c>
      <c r="L462">
        <f t="shared" si="14"/>
        <v>-2.281317716448239E-4</v>
      </c>
      <c r="M462" s="23">
        <v>41555</v>
      </c>
      <c r="N462" s="22">
        <v>728.67010000000005</v>
      </c>
      <c r="O462">
        <f t="shared" si="15"/>
        <v>-1.1802183870646132E-5</v>
      </c>
    </row>
    <row r="463" spans="7:15" x14ac:dyDescent="0.25">
      <c r="G463" s="23">
        <v>41584</v>
      </c>
      <c r="H463" s="22">
        <v>435.9889</v>
      </c>
      <c r="I463">
        <f t="shared" si="14"/>
        <v>-2.277551371712927E-2</v>
      </c>
      <c r="J463" s="23">
        <v>41584</v>
      </c>
      <c r="K463" s="22">
        <v>614.38329999999996</v>
      </c>
      <c r="L463">
        <f t="shared" si="14"/>
        <v>-5.4685995779291119E-5</v>
      </c>
      <c r="M463" s="23">
        <v>41556</v>
      </c>
      <c r="N463" s="22">
        <v>727.88710000000003</v>
      </c>
      <c r="O463">
        <f t="shared" si="15"/>
        <v>-1.0745603531694403E-3</v>
      </c>
    </row>
    <row r="464" spans="7:15" x14ac:dyDescent="0.25">
      <c r="G464" s="23">
        <v>41585</v>
      </c>
      <c r="H464" s="22">
        <v>431.04680000000002</v>
      </c>
      <c r="I464">
        <f t="shared" si="14"/>
        <v>-1.1335380327343159E-2</v>
      </c>
      <c r="J464" s="23">
        <v>41585</v>
      </c>
      <c r="K464" s="22">
        <v>607.86609999999996</v>
      </c>
      <c r="L464">
        <f t="shared" si="14"/>
        <v>-1.0607710203060505E-2</v>
      </c>
      <c r="M464" s="23">
        <v>41557</v>
      </c>
      <c r="N464" s="22">
        <v>727.9</v>
      </c>
      <c r="O464">
        <f t="shared" si="15"/>
        <v>1.7722528672381443E-5</v>
      </c>
    </row>
    <row r="465" spans="7:15" x14ac:dyDescent="0.25">
      <c r="G465" s="23">
        <v>41586</v>
      </c>
      <c r="H465" s="22">
        <v>430.92930000000001</v>
      </c>
      <c r="I465">
        <f t="shared" si="14"/>
        <v>-2.7259221040498716E-4</v>
      </c>
      <c r="J465" s="23">
        <v>41586</v>
      </c>
      <c r="K465" s="22">
        <v>607.87019999999995</v>
      </c>
      <c r="L465">
        <f t="shared" si="14"/>
        <v>6.7449064851121676E-6</v>
      </c>
      <c r="M465" s="23">
        <v>41558</v>
      </c>
      <c r="N465" s="22">
        <v>727.91959999999995</v>
      </c>
      <c r="O465">
        <f t="shared" si="15"/>
        <v>2.692677565585555E-5</v>
      </c>
    </row>
    <row r="466" spans="7:15" x14ac:dyDescent="0.25">
      <c r="G466" s="23">
        <v>41590</v>
      </c>
      <c r="H466" s="22">
        <v>430.93259999999998</v>
      </c>
      <c r="I466">
        <f t="shared" si="14"/>
        <v>7.6578687036032989E-6</v>
      </c>
      <c r="J466" s="23">
        <v>41590</v>
      </c>
      <c r="K466" s="22">
        <v>607.86350000000004</v>
      </c>
      <c r="L466">
        <f t="shared" si="14"/>
        <v>-1.1022089913104161E-5</v>
      </c>
      <c r="M466" s="23">
        <v>41561</v>
      </c>
      <c r="N466" s="22">
        <v>727.91959999999995</v>
      </c>
      <c r="O466">
        <f t="shared" si="15"/>
        <v>0</v>
      </c>
    </row>
    <row r="467" spans="7:15" x14ac:dyDescent="0.25">
      <c r="G467" s="23">
        <v>41591</v>
      </c>
      <c r="H467" s="22">
        <v>431.07670000000002</v>
      </c>
      <c r="I467">
        <f t="shared" si="14"/>
        <v>3.3439103934118641E-4</v>
      </c>
      <c r="J467" s="23">
        <v>41591</v>
      </c>
      <c r="K467" s="22">
        <v>608.22770000000003</v>
      </c>
      <c r="L467">
        <f t="shared" si="14"/>
        <v>5.9914767048852013E-4</v>
      </c>
      <c r="M467" s="23">
        <v>41562</v>
      </c>
      <c r="N467" s="22">
        <v>727.85500000000002</v>
      </c>
      <c r="O467">
        <f t="shared" si="15"/>
        <v>-8.8746064812572634E-5</v>
      </c>
    </row>
    <row r="468" spans="7:15" x14ac:dyDescent="0.25">
      <c r="G468" s="23">
        <v>41592</v>
      </c>
      <c r="H468" s="22">
        <v>431.07010000000002</v>
      </c>
      <c r="I468">
        <f t="shared" si="14"/>
        <v>-1.5310500428356022E-5</v>
      </c>
      <c r="J468" s="23">
        <v>41592</v>
      </c>
      <c r="K468" s="22">
        <v>608.23099999999999</v>
      </c>
      <c r="L468">
        <f t="shared" si="14"/>
        <v>5.4255996562169173E-6</v>
      </c>
      <c r="M468" s="23">
        <v>41563</v>
      </c>
      <c r="N468" s="22">
        <v>727.87059999999997</v>
      </c>
      <c r="O468">
        <f t="shared" si="15"/>
        <v>2.1432840332069603E-5</v>
      </c>
    </row>
    <row r="469" spans="7:15" x14ac:dyDescent="0.25">
      <c r="G469" s="23">
        <v>41593</v>
      </c>
      <c r="H469" s="22">
        <v>431.06889999999999</v>
      </c>
      <c r="I469">
        <f t="shared" si="14"/>
        <v>-2.7837699716481978E-6</v>
      </c>
      <c r="J469" s="23">
        <v>41593</v>
      </c>
      <c r="K469" s="22">
        <v>608.23599999999999</v>
      </c>
      <c r="L469">
        <f t="shared" si="14"/>
        <v>8.2205609381880151E-6</v>
      </c>
      <c r="M469" s="23">
        <v>41564</v>
      </c>
      <c r="N469" s="22">
        <v>727.85019999999997</v>
      </c>
      <c r="O469">
        <f t="shared" si="15"/>
        <v>-2.8026959737026402E-5</v>
      </c>
    </row>
    <row r="470" spans="7:15" x14ac:dyDescent="0.25">
      <c r="G470" s="23">
        <v>41596</v>
      </c>
      <c r="H470" s="22">
        <v>431.07659999999998</v>
      </c>
      <c r="I470">
        <f t="shared" si="14"/>
        <v>1.7862573709281904E-5</v>
      </c>
      <c r="J470" s="23">
        <v>41596</v>
      </c>
      <c r="K470" s="22">
        <v>608.24149999999997</v>
      </c>
      <c r="L470">
        <f t="shared" si="14"/>
        <v>9.0425426972906564E-6</v>
      </c>
      <c r="M470" s="23">
        <v>41565</v>
      </c>
      <c r="N470" s="22">
        <v>727.59760000000006</v>
      </c>
      <c r="O470">
        <f t="shared" si="15"/>
        <v>-3.4704943407304345E-4</v>
      </c>
    </row>
    <row r="471" spans="7:15" x14ac:dyDescent="0.25">
      <c r="G471" s="23">
        <v>41597</v>
      </c>
      <c r="H471" s="22">
        <v>431.15550000000002</v>
      </c>
      <c r="I471">
        <f t="shared" si="14"/>
        <v>1.8303011576148442E-4</v>
      </c>
      <c r="J471" s="23">
        <v>41597</v>
      </c>
      <c r="K471" s="22">
        <v>608.43539999999996</v>
      </c>
      <c r="L471">
        <f t="shared" si="14"/>
        <v>3.1878784989181064E-4</v>
      </c>
      <c r="M471" s="23">
        <v>41568</v>
      </c>
      <c r="N471" s="22">
        <v>744.48519999999996</v>
      </c>
      <c r="O471">
        <f t="shared" si="15"/>
        <v>2.3210082056345227E-2</v>
      </c>
    </row>
    <row r="472" spans="7:15" x14ac:dyDescent="0.25">
      <c r="G472" s="23">
        <v>41598</v>
      </c>
      <c r="H472" s="22">
        <v>431.16539999999998</v>
      </c>
      <c r="I472">
        <f t="shared" si="14"/>
        <v>2.2961553314271299E-5</v>
      </c>
      <c r="J472" s="23">
        <v>41598</v>
      </c>
      <c r="K472" s="22">
        <v>608.52179999999998</v>
      </c>
      <c r="L472">
        <f t="shared" si="14"/>
        <v>1.4200357178428824E-4</v>
      </c>
      <c r="M472" s="23">
        <v>41569</v>
      </c>
      <c r="N472" s="22">
        <v>744.45249999999999</v>
      </c>
      <c r="O472">
        <f t="shared" si="15"/>
        <v>-4.39229685156306E-5</v>
      </c>
    </row>
    <row r="473" spans="7:15" x14ac:dyDescent="0.25">
      <c r="G473" s="23">
        <v>41599</v>
      </c>
      <c r="H473" s="22">
        <v>431.18700000000001</v>
      </c>
      <c r="I473">
        <f t="shared" si="14"/>
        <v>5.0096784204090028E-5</v>
      </c>
      <c r="J473" s="23">
        <v>41599</v>
      </c>
      <c r="K473" s="22">
        <v>608.46429999999998</v>
      </c>
      <c r="L473">
        <f t="shared" si="14"/>
        <v>-9.44912737719239E-5</v>
      </c>
      <c r="M473" s="23">
        <v>41570</v>
      </c>
      <c r="N473" s="22">
        <v>744.46169999999995</v>
      </c>
      <c r="O473">
        <f t="shared" si="15"/>
        <v>1.2358075229812471E-5</v>
      </c>
    </row>
    <row r="474" spans="7:15" x14ac:dyDescent="0.25">
      <c r="G474" s="23">
        <v>41600</v>
      </c>
      <c r="H474" s="22">
        <v>431.18759999999997</v>
      </c>
      <c r="I474">
        <f t="shared" si="14"/>
        <v>1.3915076289006123E-6</v>
      </c>
      <c r="J474" s="23">
        <v>41600</v>
      </c>
      <c r="K474" s="22">
        <v>608.47559999999999</v>
      </c>
      <c r="L474">
        <f t="shared" si="14"/>
        <v>1.8571344284401547E-5</v>
      </c>
      <c r="M474" s="23">
        <v>41571</v>
      </c>
      <c r="N474" s="22">
        <v>744.46199999999999</v>
      </c>
      <c r="O474">
        <f t="shared" si="15"/>
        <v>4.0297573411507415E-7</v>
      </c>
    </row>
    <row r="475" spans="7:15" x14ac:dyDescent="0.25">
      <c r="G475" s="23">
        <v>41603</v>
      </c>
      <c r="H475" s="22">
        <v>426.42989999999998</v>
      </c>
      <c r="I475">
        <f t="shared" si="14"/>
        <v>-1.103394438986649E-2</v>
      </c>
      <c r="J475" s="23">
        <v>41603</v>
      </c>
      <c r="K475" s="22">
        <v>608.53269999999998</v>
      </c>
      <c r="L475">
        <f t="shared" si="14"/>
        <v>9.3841067743793971E-5</v>
      </c>
      <c r="M475" s="23">
        <v>41572</v>
      </c>
      <c r="N475" s="22">
        <v>742.6019</v>
      </c>
      <c r="O475">
        <f t="shared" si="15"/>
        <v>-2.4985828692397627E-3</v>
      </c>
    </row>
    <row r="476" spans="7:15" x14ac:dyDescent="0.25">
      <c r="G476" s="23">
        <v>41604</v>
      </c>
      <c r="H476" s="22">
        <v>425.94110000000001</v>
      </c>
      <c r="I476">
        <f t="shared" si="14"/>
        <v>-1.1462610853506527E-3</v>
      </c>
      <c r="J476" s="23">
        <v>41604</v>
      </c>
      <c r="K476" s="22">
        <v>608.66060000000004</v>
      </c>
      <c r="L476">
        <f t="shared" si="14"/>
        <v>2.101776946417111E-4</v>
      </c>
      <c r="M476" s="23">
        <v>41575</v>
      </c>
      <c r="N476" s="22">
        <v>742.58500000000004</v>
      </c>
      <c r="O476">
        <f t="shared" si="15"/>
        <v>-2.2757819499230614E-5</v>
      </c>
    </row>
    <row r="477" spans="7:15" x14ac:dyDescent="0.25">
      <c r="G477" s="23">
        <v>41605</v>
      </c>
      <c r="H477" s="22">
        <v>410.64940000000001</v>
      </c>
      <c r="I477">
        <f t="shared" si="14"/>
        <v>-3.5900973162721339E-2</v>
      </c>
      <c r="J477" s="23">
        <v>41605</v>
      </c>
      <c r="K477" s="22">
        <v>601.12829999999997</v>
      </c>
      <c r="L477">
        <f t="shared" si="14"/>
        <v>-1.2375205492190733E-2</v>
      </c>
      <c r="M477" s="23">
        <v>41576</v>
      </c>
      <c r="N477" s="22">
        <v>741.8768</v>
      </c>
      <c r="O477">
        <f t="shared" si="15"/>
        <v>-9.5369553653790184E-4</v>
      </c>
    </row>
    <row r="478" spans="7:15" x14ac:dyDescent="0.25">
      <c r="G478" s="23">
        <v>41607</v>
      </c>
      <c r="H478" s="22">
        <v>411.88729999999998</v>
      </c>
      <c r="I478">
        <f t="shared" si="14"/>
        <v>3.0144936288716284E-3</v>
      </c>
      <c r="J478" s="23">
        <v>41607</v>
      </c>
      <c r="K478" s="22">
        <v>602.85580000000004</v>
      </c>
      <c r="L478">
        <f t="shared" si="14"/>
        <v>2.8737625561798819E-3</v>
      </c>
      <c r="M478" s="23">
        <v>41577</v>
      </c>
      <c r="N478" s="22">
        <v>741.57119999999998</v>
      </c>
      <c r="O478">
        <f t="shared" si="15"/>
        <v>-4.1192823390623357E-4</v>
      </c>
    </row>
    <row r="479" spans="7:15" x14ac:dyDescent="0.25">
      <c r="G479" s="23">
        <v>41610</v>
      </c>
      <c r="H479" s="22">
        <v>411.80599999999998</v>
      </c>
      <c r="I479">
        <f t="shared" si="14"/>
        <v>-1.9738409025960024E-4</v>
      </c>
      <c r="J479" s="23">
        <v>41610</v>
      </c>
      <c r="K479" s="22">
        <v>602.89409999999998</v>
      </c>
      <c r="L479">
        <f t="shared" si="14"/>
        <v>6.353094720146224E-5</v>
      </c>
      <c r="M479" s="23">
        <v>41578</v>
      </c>
      <c r="N479" s="22">
        <v>748.49839999999995</v>
      </c>
      <c r="O479">
        <f t="shared" si="15"/>
        <v>9.3412473407812335E-3</v>
      </c>
    </row>
    <row r="480" spans="7:15" x14ac:dyDescent="0.25">
      <c r="G480" s="23">
        <v>41611</v>
      </c>
      <c r="H480" s="22">
        <v>411.84679999999997</v>
      </c>
      <c r="I480">
        <f t="shared" si="14"/>
        <v>9.9075778400514736E-5</v>
      </c>
      <c r="J480" s="23">
        <v>41611</v>
      </c>
      <c r="K480" s="22">
        <v>603.0172</v>
      </c>
      <c r="L480">
        <f t="shared" si="14"/>
        <v>2.0418179577474938E-4</v>
      </c>
      <c r="M480" s="23">
        <v>41579</v>
      </c>
      <c r="N480" s="22">
        <v>748.49019999999996</v>
      </c>
      <c r="O480">
        <f t="shared" si="15"/>
        <v>-1.0955267239043387E-5</v>
      </c>
    </row>
    <row r="481" spans="7:15" x14ac:dyDescent="0.25">
      <c r="G481" s="23">
        <v>41612</v>
      </c>
      <c r="H481" s="22">
        <v>412.13940000000002</v>
      </c>
      <c r="I481">
        <f t="shared" si="14"/>
        <v>7.1045835490290976E-4</v>
      </c>
      <c r="J481" s="23">
        <v>41612</v>
      </c>
      <c r="K481" s="22">
        <v>603.58370000000002</v>
      </c>
      <c r="L481">
        <f t="shared" si="14"/>
        <v>9.3944252336419787E-4</v>
      </c>
      <c r="M481" s="23">
        <v>41582</v>
      </c>
      <c r="N481" s="22">
        <v>728.16790000000003</v>
      </c>
      <c r="O481">
        <f t="shared" si="15"/>
        <v>-2.7151056887585123E-2</v>
      </c>
    </row>
    <row r="482" spans="7:15" x14ac:dyDescent="0.25">
      <c r="G482" s="23">
        <v>41613</v>
      </c>
      <c r="H482" s="22">
        <v>426.76299999999998</v>
      </c>
      <c r="I482">
        <f t="shared" si="14"/>
        <v>3.5482169382495155E-2</v>
      </c>
      <c r="J482" s="23">
        <v>41613</v>
      </c>
      <c r="K482" s="22">
        <v>604.28060000000005</v>
      </c>
      <c r="L482">
        <f t="shared" si="14"/>
        <v>1.1546037442695667E-3</v>
      </c>
      <c r="M482" s="23">
        <v>41583</v>
      </c>
      <c r="N482" s="22">
        <v>727.77850000000001</v>
      </c>
      <c r="O482">
        <f t="shared" si="15"/>
        <v>-5.3476677562969144E-4</v>
      </c>
    </row>
    <row r="483" spans="7:15" x14ac:dyDescent="0.25">
      <c r="G483" s="23">
        <v>41614</v>
      </c>
      <c r="H483" s="22">
        <v>426.7611</v>
      </c>
      <c r="I483">
        <f t="shared" si="14"/>
        <v>-4.452119794828846E-6</v>
      </c>
      <c r="J483" s="23">
        <v>41614</v>
      </c>
      <c r="K483" s="22">
        <v>604.27919999999995</v>
      </c>
      <c r="L483">
        <f t="shared" si="14"/>
        <v>-2.316804478041945E-6</v>
      </c>
      <c r="M483" s="23">
        <v>41584</v>
      </c>
      <c r="N483" s="22">
        <v>727.12379999999996</v>
      </c>
      <c r="O483">
        <f t="shared" si="15"/>
        <v>-8.9958689353974997E-4</v>
      </c>
    </row>
    <row r="484" spans="7:15" x14ac:dyDescent="0.25">
      <c r="G484" s="23">
        <v>41617</v>
      </c>
      <c r="H484" s="22">
        <v>426.75830000000002</v>
      </c>
      <c r="I484">
        <f t="shared" si="14"/>
        <v>-6.56104785556888E-6</v>
      </c>
      <c r="J484" s="23">
        <v>41617</v>
      </c>
      <c r="K484" s="22">
        <v>604.27970000000005</v>
      </c>
      <c r="L484">
        <f t="shared" si="14"/>
        <v>8.2743208795754697E-7</v>
      </c>
      <c r="M484" s="23">
        <v>41585</v>
      </c>
      <c r="N484" s="22">
        <v>716.61189999999999</v>
      </c>
      <c r="O484">
        <f t="shared" si="15"/>
        <v>-1.4456822895908439E-2</v>
      </c>
    </row>
    <row r="485" spans="7:15" x14ac:dyDescent="0.25">
      <c r="G485" s="23">
        <v>41618</v>
      </c>
      <c r="H485" s="22">
        <v>426.87540000000001</v>
      </c>
      <c r="I485">
        <f t="shared" si="14"/>
        <v>2.7439419455932423E-4</v>
      </c>
      <c r="J485" s="23">
        <v>41618</v>
      </c>
      <c r="K485" s="22">
        <v>604.10080000000005</v>
      </c>
      <c r="L485">
        <f t="shared" si="14"/>
        <v>-2.9605495600792953E-4</v>
      </c>
      <c r="M485" s="23">
        <v>41586</v>
      </c>
      <c r="N485" s="22">
        <v>716.61680000000001</v>
      </c>
      <c r="O485">
        <f t="shared" si="15"/>
        <v>6.8377318322987435E-6</v>
      </c>
    </row>
    <row r="486" spans="7:15" x14ac:dyDescent="0.25">
      <c r="G486" s="23">
        <v>41619</v>
      </c>
      <c r="H486" s="22">
        <v>426.8759</v>
      </c>
      <c r="I486">
        <f t="shared" si="14"/>
        <v>1.1713019771875111E-6</v>
      </c>
      <c r="J486" s="23">
        <v>41619</v>
      </c>
      <c r="K486" s="22">
        <v>604.10680000000002</v>
      </c>
      <c r="L486">
        <f t="shared" si="14"/>
        <v>9.9321172890576293E-6</v>
      </c>
      <c r="M486" s="23">
        <v>41589</v>
      </c>
      <c r="N486" s="22">
        <v>716.61680000000001</v>
      </c>
      <c r="O486">
        <f t="shared" si="15"/>
        <v>0</v>
      </c>
    </row>
    <row r="487" spans="7:15" x14ac:dyDescent="0.25">
      <c r="G487" s="23">
        <v>41620</v>
      </c>
      <c r="H487" s="22">
        <v>426.87729999999999</v>
      </c>
      <c r="I487">
        <f t="shared" si="14"/>
        <v>3.2796416944425033E-6</v>
      </c>
      <c r="J487" s="23">
        <v>41620</v>
      </c>
      <c r="K487" s="22">
        <v>604.10979999999995</v>
      </c>
      <c r="L487">
        <f t="shared" si="14"/>
        <v>4.9660093213166334E-6</v>
      </c>
      <c r="M487" s="23">
        <v>41590</v>
      </c>
      <c r="N487" s="22">
        <v>716.63819999999998</v>
      </c>
      <c r="O487">
        <f t="shared" si="15"/>
        <v>2.9862542993752683E-5</v>
      </c>
    </row>
    <row r="488" spans="7:15" x14ac:dyDescent="0.25">
      <c r="G488" s="23">
        <v>41621</v>
      </c>
      <c r="H488" s="22">
        <v>426.87639999999999</v>
      </c>
      <c r="I488">
        <f t="shared" si="14"/>
        <v>-2.1083341746885864E-6</v>
      </c>
      <c r="J488" s="23">
        <v>41621</v>
      </c>
      <c r="K488" s="22">
        <v>604.2826</v>
      </c>
      <c r="L488">
        <f t="shared" si="14"/>
        <v>2.860407164393397E-4</v>
      </c>
      <c r="M488" s="23">
        <v>41591</v>
      </c>
      <c r="N488" s="22">
        <v>717.36360000000002</v>
      </c>
      <c r="O488">
        <f t="shared" si="15"/>
        <v>1.0122262530800619E-3</v>
      </c>
    </row>
    <row r="489" spans="7:15" x14ac:dyDescent="0.25">
      <c r="G489" s="23">
        <v>41624</v>
      </c>
      <c r="H489" s="22">
        <v>427.00659999999999</v>
      </c>
      <c r="I489">
        <f t="shared" si="14"/>
        <v>3.0500632033070296E-4</v>
      </c>
      <c r="J489" s="23">
        <v>41624</v>
      </c>
      <c r="K489" s="22">
        <v>604.29719999999998</v>
      </c>
      <c r="L489">
        <f t="shared" si="14"/>
        <v>2.4160881018309155E-5</v>
      </c>
      <c r="M489" s="23">
        <v>41592</v>
      </c>
      <c r="N489" s="22">
        <v>717.59649999999999</v>
      </c>
      <c r="O489">
        <f t="shared" si="15"/>
        <v>3.2466102266681673E-4</v>
      </c>
    </row>
    <row r="490" spans="7:15" x14ac:dyDescent="0.25">
      <c r="G490" s="23">
        <v>41625</v>
      </c>
      <c r="H490" s="22">
        <v>427.00970000000001</v>
      </c>
      <c r="I490">
        <f t="shared" si="14"/>
        <v>7.2598409486257509E-6</v>
      </c>
      <c r="J490" s="23">
        <v>41625</v>
      </c>
      <c r="K490" s="22">
        <v>604.47990000000004</v>
      </c>
      <c r="L490">
        <f t="shared" si="14"/>
        <v>3.0233467902895939E-4</v>
      </c>
      <c r="M490" s="23">
        <v>41593</v>
      </c>
      <c r="N490" s="22">
        <v>717.54349999999999</v>
      </c>
      <c r="O490">
        <f t="shared" si="15"/>
        <v>-7.3857662349241515E-5</v>
      </c>
    </row>
    <row r="491" spans="7:15" x14ac:dyDescent="0.25">
      <c r="G491" s="23">
        <v>41626</v>
      </c>
      <c r="H491" s="22">
        <v>434.87430000000001</v>
      </c>
      <c r="I491">
        <f t="shared" si="14"/>
        <v>1.8417848587514607E-2</v>
      </c>
      <c r="J491" s="23">
        <v>41626</v>
      </c>
      <c r="K491" s="22">
        <v>617.44259999999997</v>
      </c>
      <c r="L491">
        <f t="shared" si="14"/>
        <v>2.1444385495696272E-2</v>
      </c>
      <c r="M491" s="23">
        <v>41596</v>
      </c>
      <c r="N491" s="22">
        <v>717.53809999999999</v>
      </c>
      <c r="O491">
        <f t="shared" si="15"/>
        <v>-7.525676143704807E-6</v>
      </c>
    </row>
    <row r="492" spans="7:15" x14ac:dyDescent="0.25">
      <c r="G492" s="23">
        <v>41627</v>
      </c>
      <c r="H492" s="22">
        <v>425.1583</v>
      </c>
      <c r="I492">
        <f t="shared" si="14"/>
        <v>-2.2342088277003236E-2</v>
      </c>
      <c r="J492" s="23">
        <v>41627</v>
      </c>
      <c r="K492" s="22">
        <v>603.02120000000002</v>
      </c>
      <c r="L492">
        <f t="shared" si="14"/>
        <v>-2.3356665056800341E-2</v>
      </c>
      <c r="M492" s="23">
        <v>41597</v>
      </c>
      <c r="N492" s="22">
        <v>717.53549999999996</v>
      </c>
      <c r="O492">
        <f t="shared" si="15"/>
        <v>-3.6235009681639951E-6</v>
      </c>
    </row>
    <row r="493" spans="7:15" x14ac:dyDescent="0.25">
      <c r="G493" s="23">
        <v>41628</v>
      </c>
      <c r="H493" s="22">
        <v>425.15390000000002</v>
      </c>
      <c r="I493">
        <f t="shared" si="14"/>
        <v>-1.0349086446148625E-5</v>
      </c>
      <c r="J493" s="23">
        <v>41628</v>
      </c>
      <c r="K493" s="22">
        <v>603.01419999999996</v>
      </c>
      <c r="L493">
        <f t="shared" si="14"/>
        <v>-1.160821543266799E-5</v>
      </c>
      <c r="M493" s="23">
        <v>41598</v>
      </c>
      <c r="N493" s="22">
        <v>717.51729999999998</v>
      </c>
      <c r="O493">
        <f t="shared" si="15"/>
        <v>-2.5364598685295725E-5</v>
      </c>
    </row>
    <row r="494" spans="7:15" x14ac:dyDescent="0.25">
      <c r="G494" s="23">
        <v>41631</v>
      </c>
      <c r="H494" s="22">
        <v>425.15460000000002</v>
      </c>
      <c r="I494">
        <f t="shared" si="14"/>
        <v>1.6464626102496993E-6</v>
      </c>
      <c r="J494" s="23">
        <v>41631</v>
      </c>
      <c r="K494" s="22">
        <v>603.01099999999997</v>
      </c>
      <c r="L494">
        <f t="shared" si="14"/>
        <v>-5.3066743701535302E-6</v>
      </c>
      <c r="M494" s="23">
        <v>41599</v>
      </c>
      <c r="N494" s="22">
        <v>717.5521</v>
      </c>
      <c r="O494">
        <f t="shared" si="15"/>
        <v>4.8500572738863212E-5</v>
      </c>
    </row>
    <row r="495" spans="7:15" x14ac:dyDescent="0.25">
      <c r="G495" s="23">
        <v>41632</v>
      </c>
      <c r="H495" s="22">
        <v>425.15289999999999</v>
      </c>
      <c r="I495">
        <f t="shared" si="14"/>
        <v>-3.998545470396131E-6</v>
      </c>
      <c r="J495" s="23">
        <v>41632</v>
      </c>
      <c r="K495" s="22">
        <v>603.02610000000004</v>
      </c>
      <c r="L495">
        <f t="shared" si="14"/>
        <v>2.5041002568837456E-5</v>
      </c>
      <c r="M495" s="23">
        <v>41600</v>
      </c>
      <c r="N495" s="22">
        <v>717.55330000000004</v>
      </c>
      <c r="O495">
        <f t="shared" si="15"/>
        <v>1.6723524327577621E-6</v>
      </c>
    </row>
    <row r="496" spans="7:15" x14ac:dyDescent="0.25">
      <c r="G496" s="23">
        <v>41634</v>
      </c>
      <c r="H496" s="22">
        <v>425.1524</v>
      </c>
      <c r="I496">
        <f t="shared" si="14"/>
        <v>-1.1760474878386162E-6</v>
      </c>
      <c r="J496" s="23">
        <v>41634</v>
      </c>
      <c r="K496" s="22">
        <v>603.02570000000003</v>
      </c>
      <c r="L496">
        <f t="shared" si="14"/>
        <v>-6.6332120618461943E-7</v>
      </c>
      <c r="M496" s="23">
        <v>41603</v>
      </c>
      <c r="N496" s="22">
        <v>717.55579999999998</v>
      </c>
      <c r="O496">
        <f t="shared" si="15"/>
        <v>3.4840617413323116E-6</v>
      </c>
    </row>
    <row r="497" spans="7:15" x14ac:dyDescent="0.25">
      <c r="G497" s="23">
        <v>41635</v>
      </c>
      <c r="H497" s="22">
        <v>425.154</v>
      </c>
      <c r="I497">
        <f t="shared" si="14"/>
        <v>3.7633563869654552E-6</v>
      </c>
      <c r="J497" s="23">
        <v>41635</v>
      </c>
      <c r="K497" s="22">
        <v>603.03110000000004</v>
      </c>
      <c r="L497">
        <f t="shared" si="14"/>
        <v>8.9548422230745217E-6</v>
      </c>
      <c r="M497" s="23">
        <v>41604</v>
      </c>
      <c r="N497" s="22">
        <v>717.56060000000002</v>
      </c>
      <c r="O497">
        <f t="shared" si="15"/>
        <v>6.6893752375118964E-6</v>
      </c>
    </row>
    <row r="498" spans="7:15" x14ac:dyDescent="0.25">
      <c r="G498" s="23">
        <v>41638</v>
      </c>
      <c r="H498" s="22">
        <v>425.1275</v>
      </c>
      <c r="I498">
        <f t="shared" si="14"/>
        <v>-6.2330355588779973E-5</v>
      </c>
      <c r="J498" s="23">
        <v>41638</v>
      </c>
      <c r="K498" s="22">
        <v>603.15449999999998</v>
      </c>
      <c r="L498">
        <f t="shared" si="14"/>
        <v>2.0463289538463769E-4</v>
      </c>
      <c r="M498" s="23">
        <v>41605</v>
      </c>
      <c r="N498" s="22">
        <v>708.57759999999996</v>
      </c>
      <c r="O498">
        <f t="shared" si="15"/>
        <v>-1.2518803289924274E-2</v>
      </c>
    </row>
    <row r="499" spans="7:15" x14ac:dyDescent="0.25">
      <c r="G499" s="23">
        <v>41639</v>
      </c>
      <c r="H499" s="22">
        <v>425.23200000000003</v>
      </c>
      <c r="I499">
        <f t="shared" si="14"/>
        <v>2.458086103580559E-4</v>
      </c>
      <c r="J499" s="23">
        <v>41639</v>
      </c>
      <c r="K499" s="22">
        <v>604.43409999999994</v>
      </c>
      <c r="L499">
        <f t="shared" si="14"/>
        <v>2.1215128130520622E-3</v>
      </c>
      <c r="M499" s="23">
        <v>41607</v>
      </c>
      <c r="N499" s="22">
        <v>710.08339999999998</v>
      </c>
      <c r="O499">
        <f t="shared" si="15"/>
        <v>2.1251024587851663E-3</v>
      </c>
    </row>
    <row r="500" spans="7:15" x14ac:dyDescent="0.25">
      <c r="G500" s="23">
        <v>41641</v>
      </c>
      <c r="H500" s="22">
        <v>425.23329999999999</v>
      </c>
      <c r="I500">
        <f t="shared" si="14"/>
        <v>3.0571546825175488E-6</v>
      </c>
      <c r="J500" s="23">
        <v>41641</v>
      </c>
      <c r="K500" s="22">
        <v>604.42899999999997</v>
      </c>
      <c r="L500">
        <f t="shared" si="14"/>
        <v>-8.4376444015044072E-6</v>
      </c>
      <c r="M500" s="23">
        <v>41610</v>
      </c>
      <c r="N500" s="22">
        <v>710.31240000000003</v>
      </c>
      <c r="O500">
        <f t="shared" si="15"/>
        <v>3.2249732918709917E-4</v>
      </c>
    </row>
    <row r="501" spans="7:15" x14ac:dyDescent="0.25">
      <c r="G501" s="23">
        <v>41642</v>
      </c>
      <c r="H501" s="22">
        <v>425.21440000000001</v>
      </c>
      <c r="I501">
        <f t="shared" si="14"/>
        <v>-4.4446189891411692E-5</v>
      </c>
      <c r="J501" s="23">
        <v>41642</v>
      </c>
      <c r="K501" s="22">
        <v>604.4325</v>
      </c>
      <c r="L501">
        <f t="shared" si="14"/>
        <v>5.7905891346354821E-6</v>
      </c>
      <c r="M501" s="23">
        <v>41611</v>
      </c>
      <c r="N501" s="22">
        <v>710.80539999999996</v>
      </c>
      <c r="O501">
        <f t="shared" si="15"/>
        <v>6.9406081042644452E-4</v>
      </c>
    </row>
    <row r="502" spans="7:15" x14ac:dyDescent="0.25">
      <c r="G502" s="23">
        <v>41645</v>
      </c>
      <c r="H502" s="22">
        <v>424.9289</v>
      </c>
      <c r="I502">
        <f t="shared" si="14"/>
        <v>-6.7142599121761126E-4</v>
      </c>
      <c r="J502" s="23">
        <v>41645</v>
      </c>
      <c r="K502" s="22">
        <v>604.62649999999996</v>
      </c>
      <c r="L502">
        <f t="shared" si="14"/>
        <v>3.2096222489674808E-4</v>
      </c>
      <c r="M502" s="23">
        <v>41612</v>
      </c>
      <c r="N502" s="22">
        <v>710.81380000000001</v>
      </c>
      <c r="O502">
        <f t="shared" si="15"/>
        <v>1.1817580451767284E-5</v>
      </c>
    </row>
    <row r="503" spans="7:15" x14ac:dyDescent="0.25">
      <c r="G503" s="23">
        <v>41646</v>
      </c>
      <c r="H503" s="22">
        <v>414.76710000000003</v>
      </c>
      <c r="I503">
        <f t="shared" si="14"/>
        <v>-2.3914118338385526E-2</v>
      </c>
      <c r="J503" s="23">
        <v>41646</v>
      </c>
      <c r="K503" s="22">
        <v>604.6028</v>
      </c>
      <c r="L503">
        <f t="shared" si="14"/>
        <v>-3.9197752662145646E-5</v>
      </c>
      <c r="M503" s="23">
        <v>41613</v>
      </c>
      <c r="N503" s="22">
        <v>712.74099999999999</v>
      </c>
      <c r="O503">
        <f t="shared" si="15"/>
        <v>2.711258560258667E-3</v>
      </c>
    </row>
    <row r="504" spans="7:15" x14ac:dyDescent="0.25">
      <c r="G504" s="23">
        <v>41647</v>
      </c>
      <c r="H504" s="22">
        <v>414.53089999999997</v>
      </c>
      <c r="I504">
        <f t="shared" si="14"/>
        <v>-5.6947621930492076E-4</v>
      </c>
      <c r="J504" s="23">
        <v>41647</v>
      </c>
      <c r="K504" s="22">
        <v>604.53319999999997</v>
      </c>
      <c r="L504">
        <f t="shared" si="14"/>
        <v>-1.1511689988874529E-4</v>
      </c>
      <c r="M504" s="23">
        <v>41614</v>
      </c>
      <c r="N504" s="22">
        <v>712.74509999999998</v>
      </c>
      <c r="O504">
        <f t="shared" si="15"/>
        <v>5.7524402272690622E-6</v>
      </c>
    </row>
    <row r="505" spans="7:15" x14ac:dyDescent="0.25">
      <c r="G505" s="23">
        <v>41648</v>
      </c>
      <c r="H505" s="22">
        <v>423.65890000000002</v>
      </c>
      <c r="I505">
        <f t="shared" si="14"/>
        <v>2.2020071362593319E-2</v>
      </c>
      <c r="J505" s="23">
        <v>41648</v>
      </c>
      <c r="K505" s="22">
        <v>616.91380000000004</v>
      </c>
      <c r="L505">
        <f t="shared" si="14"/>
        <v>2.0479603105338251E-2</v>
      </c>
      <c r="M505" s="23">
        <v>41617</v>
      </c>
      <c r="N505" s="22">
        <v>712.74189999999999</v>
      </c>
      <c r="O505">
        <f t="shared" si="15"/>
        <v>-4.4896836189911582E-6</v>
      </c>
    </row>
    <row r="506" spans="7:15" x14ac:dyDescent="0.25">
      <c r="G506" s="23">
        <v>41649</v>
      </c>
      <c r="H506" s="22">
        <v>423.65719999999999</v>
      </c>
      <c r="I506">
        <f t="shared" si="14"/>
        <v>-4.0126620732827689E-6</v>
      </c>
      <c r="J506" s="23">
        <v>41649</v>
      </c>
      <c r="K506" s="22">
        <v>616.4556</v>
      </c>
      <c r="L506">
        <f t="shared" si="14"/>
        <v>-7.4272937321229193E-4</v>
      </c>
      <c r="M506" s="23">
        <v>41618</v>
      </c>
      <c r="N506" s="22">
        <v>712.74159999999995</v>
      </c>
      <c r="O506">
        <f t="shared" si="15"/>
        <v>-4.2090972907082858E-7</v>
      </c>
    </row>
    <row r="507" spans="7:15" x14ac:dyDescent="0.25">
      <c r="G507" s="23">
        <v>41652</v>
      </c>
      <c r="H507" s="22">
        <v>423.55549999999999</v>
      </c>
      <c r="I507">
        <f t="shared" si="14"/>
        <v>-2.4005257080483844E-4</v>
      </c>
      <c r="J507" s="23">
        <v>41652</v>
      </c>
      <c r="K507" s="22">
        <v>616.11990000000003</v>
      </c>
      <c r="L507">
        <f t="shared" si="14"/>
        <v>-5.4456476670816656E-4</v>
      </c>
      <c r="M507" s="23">
        <v>41619</v>
      </c>
      <c r="N507" s="22">
        <v>712.74180000000001</v>
      </c>
      <c r="O507">
        <f t="shared" si="15"/>
        <v>2.8060660417494887E-7</v>
      </c>
    </row>
    <row r="508" spans="7:15" x14ac:dyDescent="0.25">
      <c r="G508" s="23">
        <v>41653</v>
      </c>
      <c r="H508" s="22">
        <v>423.35969999999998</v>
      </c>
      <c r="I508">
        <f t="shared" si="14"/>
        <v>-4.6227708057156036E-4</v>
      </c>
      <c r="J508" s="23">
        <v>41653</v>
      </c>
      <c r="K508" s="22">
        <v>616.1123</v>
      </c>
      <c r="L508">
        <f t="shared" si="14"/>
        <v>-1.2335261367235617E-5</v>
      </c>
      <c r="M508" s="23">
        <v>41620</v>
      </c>
      <c r="N508" s="22">
        <v>712.75099999999998</v>
      </c>
      <c r="O508">
        <f t="shared" si="15"/>
        <v>1.2907900168057651E-5</v>
      </c>
    </row>
    <row r="509" spans="7:15" x14ac:dyDescent="0.25">
      <c r="G509" s="23">
        <v>41654</v>
      </c>
      <c r="H509" s="22">
        <v>423.2989</v>
      </c>
      <c r="I509">
        <f t="shared" si="14"/>
        <v>-1.4361310252242188E-4</v>
      </c>
      <c r="J509" s="23">
        <v>41654</v>
      </c>
      <c r="K509" s="22">
        <v>601.56020000000001</v>
      </c>
      <c r="L509">
        <f t="shared" si="14"/>
        <v>-2.3619233052156186E-2</v>
      </c>
      <c r="M509" s="23">
        <v>41621</v>
      </c>
      <c r="N509" s="22">
        <v>712.74940000000004</v>
      </c>
      <c r="O509">
        <f t="shared" si="15"/>
        <v>-2.2448232270821933E-6</v>
      </c>
    </row>
    <row r="510" spans="7:15" x14ac:dyDescent="0.25">
      <c r="G510" s="23">
        <v>41655</v>
      </c>
      <c r="H510" s="22">
        <v>408.66320000000002</v>
      </c>
      <c r="I510">
        <f t="shared" si="14"/>
        <v>-3.4575331993539238E-2</v>
      </c>
      <c r="J510" s="23">
        <v>41655</v>
      </c>
      <c r="K510" s="22">
        <v>596.53049999999996</v>
      </c>
      <c r="L510">
        <f t="shared" si="14"/>
        <v>-8.361091707862367E-3</v>
      </c>
      <c r="M510" s="23">
        <v>41624</v>
      </c>
      <c r="N510" s="22">
        <v>712.75580000000002</v>
      </c>
      <c r="O510">
        <f t="shared" si="15"/>
        <v>8.9793130657600528E-6</v>
      </c>
    </row>
    <row r="511" spans="7:15" x14ac:dyDescent="0.25">
      <c r="G511" s="23">
        <v>41656</v>
      </c>
      <c r="H511" s="22">
        <v>408.25920000000002</v>
      </c>
      <c r="I511">
        <f t="shared" si="14"/>
        <v>-9.8858913648203206E-4</v>
      </c>
      <c r="J511" s="23">
        <v>41656</v>
      </c>
      <c r="K511" s="22">
        <v>595.76319999999998</v>
      </c>
      <c r="L511">
        <f t="shared" si="14"/>
        <v>-1.2862711965272444E-3</v>
      </c>
      <c r="M511" s="23">
        <v>41625</v>
      </c>
      <c r="N511" s="22">
        <v>712.75379999999996</v>
      </c>
      <c r="O511">
        <f t="shared" si="15"/>
        <v>-2.8060101371352175E-6</v>
      </c>
    </row>
    <row r="512" spans="7:15" x14ac:dyDescent="0.25">
      <c r="G512" s="23">
        <v>41660</v>
      </c>
      <c r="H512" s="22">
        <v>408.18950000000001</v>
      </c>
      <c r="I512">
        <f t="shared" si="14"/>
        <v>-1.7072487282587812E-4</v>
      </c>
      <c r="J512" s="23">
        <v>41660</v>
      </c>
      <c r="K512" s="22">
        <v>595.44510000000002</v>
      </c>
      <c r="L512">
        <f t="shared" si="14"/>
        <v>-5.3393697361625581E-4</v>
      </c>
      <c r="M512" s="23">
        <v>41626</v>
      </c>
      <c r="N512" s="22">
        <v>727.57010000000002</v>
      </c>
      <c r="O512">
        <f t="shared" si="15"/>
        <v>2.078740232602061E-2</v>
      </c>
    </row>
    <row r="513" spans="7:15" x14ac:dyDescent="0.25">
      <c r="G513" s="23">
        <v>41661</v>
      </c>
      <c r="H513" s="22">
        <v>408.05799999999999</v>
      </c>
      <c r="I513">
        <f t="shared" si="14"/>
        <v>-3.2215429353277258E-4</v>
      </c>
      <c r="J513" s="23">
        <v>41661</v>
      </c>
      <c r="K513" s="22">
        <v>595.23389999999995</v>
      </c>
      <c r="L513">
        <f t="shared" si="14"/>
        <v>-3.5469264924692379E-4</v>
      </c>
      <c r="M513" s="23">
        <v>41627</v>
      </c>
      <c r="N513" s="22">
        <v>711.78300000000002</v>
      </c>
      <c r="O513">
        <f t="shared" si="15"/>
        <v>-2.1698390299436432E-2</v>
      </c>
    </row>
    <row r="514" spans="7:15" x14ac:dyDescent="0.25">
      <c r="G514" s="23">
        <v>41662</v>
      </c>
      <c r="H514" s="22">
        <v>408.06349999999998</v>
      </c>
      <c r="I514">
        <f t="shared" si="14"/>
        <v>1.3478476099004766E-5</v>
      </c>
      <c r="J514" s="23">
        <v>41662</v>
      </c>
      <c r="K514" s="22">
        <v>595.23360000000002</v>
      </c>
      <c r="L514">
        <f t="shared" si="14"/>
        <v>-5.0400355211532855E-7</v>
      </c>
      <c r="M514" s="23">
        <v>41628</v>
      </c>
      <c r="N514" s="22">
        <v>711.77719999999999</v>
      </c>
      <c r="O514">
        <f t="shared" si="15"/>
        <v>-8.148550892594919E-6</v>
      </c>
    </row>
    <row r="515" spans="7:15" x14ac:dyDescent="0.25">
      <c r="G515" s="23">
        <v>41663</v>
      </c>
      <c r="H515" s="22">
        <v>408.07069999999999</v>
      </c>
      <c r="I515">
        <f t="shared" si="14"/>
        <v>1.7644312711118104E-5</v>
      </c>
      <c r="J515" s="23">
        <v>41663</v>
      </c>
      <c r="K515" s="22">
        <v>595.23350000000005</v>
      </c>
      <c r="L515">
        <f t="shared" si="14"/>
        <v>-1.6800126867444476E-7</v>
      </c>
      <c r="M515" s="23">
        <v>41631</v>
      </c>
      <c r="N515" s="22">
        <v>712.14469999999994</v>
      </c>
      <c r="O515">
        <f t="shared" si="15"/>
        <v>5.1631325083190127E-4</v>
      </c>
    </row>
    <row r="516" spans="7:15" x14ac:dyDescent="0.25">
      <c r="G516" s="23">
        <v>41666</v>
      </c>
      <c r="H516" s="22">
        <v>408.08109999999999</v>
      </c>
      <c r="I516">
        <f t="shared" ref="I516:L579" si="16">H516/H515-1</f>
        <v>2.5485779792555618E-5</v>
      </c>
      <c r="J516" s="23">
        <v>41666</v>
      </c>
      <c r="K516" s="22">
        <v>595.23429999999996</v>
      </c>
      <c r="L516">
        <f t="shared" si="16"/>
        <v>1.3440103756590105E-6</v>
      </c>
      <c r="M516" s="23">
        <v>41632</v>
      </c>
      <c r="N516" s="22">
        <v>711.61630000000002</v>
      </c>
      <c r="O516">
        <f t="shared" ref="O516:O579" si="17">N516/N515-1</f>
        <v>-7.4198403779446309E-4</v>
      </c>
    </row>
    <row r="517" spans="7:15" x14ac:dyDescent="0.25">
      <c r="G517" s="23">
        <v>41667</v>
      </c>
      <c r="H517" s="22">
        <v>407.84699999999998</v>
      </c>
      <c r="I517">
        <f t="shared" si="16"/>
        <v>-5.7366048072304832E-4</v>
      </c>
      <c r="J517" s="23">
        <v>41667</v>
      </c>
      <c r="K517" s="22">
        <v>594.96519999999998</v>
      </c>
      <c r="L517">
        <f t="shared" si="16"/>
        <v>-4.520908825313974E-4</v>
      </c>
      <c r="M517" s="23">
        <v>41633</v>
      </c>
      <c r="N517" s="22">
        <v>711.61630000000002</v>
      </c>
      <c r="O517">
        <f t="shared" si="17"/>
        <v>0</v>
      </c>
    </row>
    <row r="518" spans="7:15" x14ac:dyDescent="0.25">
      <c r="G518" s="23">
        <v>41668</v>
      </c>
      <c r="H518" s="22">
        <v>407.85039999999998</v>
      </c>
      <c r="I518">
        <f t="shared" si="16"/>
        <v>8.3364595055979152E-6</v>
      </c>
      <c r="J518" s="23">
        <v>41668</v>
      </c>
      <c r="K518" s="22">
        <v>594.96659999999997</v>
      </c>
      <c r="L518">
        <f t="shared" si="16"/>
        <v>2.3530788018089055E-6</v>
      </c>
      <c r="M518" s="23">
        <v>41634</v>
      </c>
      <c r="N518" s="22">
        <v>711.61959999999999</v>
      </c>
      <c r="O518">
        <f t="shared" si="17"/>
        <v>4.6373305389035835E-6</v>
      </c>
    </row>
    <row r="519" spans="7:15" x14ac:dyDescent="0.25">
      <c r="G519" s="23">
        <v>41669</v>
      </c>
      <c r="H519" s="22">
        <v>408.84660000000002</v>
      </c>
      <c r="I519">
        <f t="shared" si="16"/>
        <v>2.4425622728334595E-3</v>
      </c>
      <c r="J519" s="23">
        <v>41669</v>
      </c>
      <c r="K519" s="22">
        <v>594.55219999999997</v>
      </c>
      <c r="L519">
        <f t="shared" si="16"/>
        <v>-6.9650968642609445E-4</v>
      </c>
      <c r="M519" s="23">
        <v>41635</v>
      </c>
      <c r="N519" s="22">
        <v>711.6223</v>
      </c>
      <c r="O519">
        <f t="shared" si="17"/>
        <v>3.794161937076268E-6</v>
      </c>
    </row>
    <row r="520" spans="7:15" x14ac:dyDescent="0.25">
      <c r="G520" s="23">
        <v>41670</v>
      </c>
      <c r="H520" s="22">
        <v>409.39420000000001</v>
      </c>
      <c r="I520">
        <f t="shared" si="16"/>
        <v>1.3393776541128499E-3</v>
      </c>
      <c r="J520" s="23">
        <v>41670</v>
      </c>
      <c r="K520" s="22">
        <v>594.71640000000002</v>
      </c>
      <c r="L520">
        <f t="shared" si="16"/>
        <v>2.7617423667769536E-4</v>
      </c>
      <c r="M520" s="23">
        <v>41638</v>
      </c>
      <c r="N520" s="22">
        <v>711.69740000000002</v>
      </c>
      <c r="O520">
        <f t="shared" si="17"/>
        <v>1.05533511246092E-4</v>
      </c>
    </row>
    <row r="521" spans="7:15" x14ac:dyDescent="0.25">
      <c r="G521" s="23">
        <v>41673</v>
      </c>
      <c r="H521" s="22">
        <v>407.01819999999998</v>
      </c>
      <c r="I521">
        <f t="shared" si="16"/>
        <v>-5.8036972678168208E-3</v>
      </c>
      <c r="J521" s="23">
        <v>41673</v>
      </c>
      <c r="K521" s="22">
        <v>595.08690000000001</v>
      </c>
      <c r="L521">
        <f t="shared" si="16"/>
        <v>6.2298601484678251E-4</v>
      </c>
      <c r="M521" s="23">
        <v>41639</v>
      </c>
      <c r="N521" s="22">
        <v>714.02629999999999</v>
      </c>
      <c r="O521">
        <f t="shared" si="17"/>
        <v>3.2723177013151972E-3</v>
      </c>
    </row>
    <row r="522" spans="7:15" x14ac:dyDescent="0.25">
      <c r="G522" s="23">
        <v>41674</v>
      </c>
      <c r="H522" s="22">
        <v>407.13709999999998</v>
      </c>
      <c r="I522">
        <f t="shared" si="16"/>
        <v>2.9212452907501074E-4</v>
      </c>
      <c r="J522" s="23">
        <v>41674</v>
      </c>
      <c r="K522" s="22">
        <v>595.12099999999998</v>
      </c>
      <c r="L522">
        <f t="shared" si="16"/>
        <v>5.7302555307447989E-5</v>
      </c>
      <c r="M522" s="23">
        <v>41640</v>
      </c>
      <c r="N522" s="22">
        <v>714.02629999999999</v>
      </c>
      <c r="O522">
        <f t="shared" si="17"/>
        <v>0</v>
      </c>
    </row>
    <row r="523" spans="7:15" x14ac:dyDescent="0.25">
      <c r="G523" s="23">
        <v>41675</v>
      </c>
      <c r="H523" s="22">
        <v>412.00029999999998</v>
      </c>
      <c r="I523">
        <f t="shared" si="16"/>
        <v>1.1944870659048368E-2</v>
      </c>
      <c r="J523" s="23">
        <v>41675</v>
      </c>
      <c r="K523" s="22">
        <v>595.00829999999996</v>
      </c>
      <c r="L523">
        <f t="shared" si="16"/>
        <v>-1.8937325350643075E-4</v>
      </c>
      <c r="M523" s="23">
        <v>41641</v>
      </c>
      <c r="N523" s="22">
        <v>714.02790000000005</v>
      </c>
      <c r="O523">
        <f t="shared" si="17"/>
        <v>2.2408138189433657E-6</v>
      </c>
    </row>
    <row r="524" spans="7:15" x14ac:dyDescent="0.25">
      <c r="G524" s="23">
        <v>41676</v>
      </c>
      <c r="H524" s="22">
        <v>412.02050000000003</v>
      </c>
      <c r="I524">
        <f t="shared" si="16"/>
        <v>4.9029090512853202E-5</v>
      </c>
      <c r="J524" s="23">
        <v>41676</v>
      </c>
      <c r="K524" s="22">
        <v>594.96810000000005</v>
      </c>
      <c r="L524">
        <f t="shared" si="16"/>
        <v>-6.7562082747274488E-5</v>
      </c>
      <c r="M524" s="23">
        <v>41642</v>
      </c>
      <c r="N524" s="22">
        <v>714.02729999999997</v>
      </c>
      <c r="O524">
        <f t="shared" si="17"/>
        <v>-8.4030329916551239E-7</v>
      </c>
    </row>
    <row r="525" spans="7:15" x14ac:dyDescent="0.25">
      <c r="G525" s="23">
        <v>41677</v>
      </c>
      <c r="H525" s="22">
        <v>411.86900000000003</v>
      </c>
      <c r="I525">
        <f t="shared" si="16"/>
        <v>-3.6770015084197638E-4</v>
      </c>
      <c r="J525" s="23">
        <v>41677</v>
      </c>
      <c r="K525" s="22">
        <v>594.73019999999997</v>
      </c>
      <c r="L525">
        <f t="shared" si="16"/>
        <v>-3.9985337029002643E-4</v>
      </c>
      <c r="M525" s="23">
        <v>41645</v>
      </c>
      <c r="N525" s="22">
        <v>713.8347</v>
      </c>
      <c r="O525">
        <f t="shared" si="17"/>
        <v>-2.6973758566373185E-4</v>
      </c>
    </row>
    <row r="526" spans="7:15" x14ac:dyDescent="0.25">
      <c r="G526" s="23">
        <v>41680</v>
      </c>
      <c r="H526" s="22">
        <v>411.82510000000002</v>
      </c>
      <c r="I526">
        <f t="shared" si="16"/>
        <v>-1.065872886767405E-4</v>
      </c>
      <c r="J526" s="23">
        <v>41680</v>
      </c>
      <c r="K526" s="22">
        <v>594.56730000000005</v>
      </c>
      <c r="L526">
        <f t="shared" si="16"/>
        <v>-2.7390571388496987E-4</v>
      </c>
      <c r="M526" s="23">
        <v>41646</v>
      </c>
      <c r="N526" s="22">
        <v>713.8451</v>
      </c>
      <c r="O526">
        <f t="shared" si="17"/>
        <v>1.4569199283887002E-5</v>
      </c>
    </row>
    <row r="527" spans="7:15" x14ac:dyDescent="0.25">
      <c r="G527" s="23">
        <v>41681</v>
      </c>
      <c r="H527" s="22">
        <v>412.00069999999999</v>
      </c>
      <c r="I527">
        <f t="shared" si="16"/>
        <v>4.2639460295146314E-4</v>
      </c>
      <c r="J527" s="23">
        <v>41681</v>
      </c>
      <c r="K527" s="22">
        <v>594.56629999999996</v>
      </c>
      <c r="L527">
        <f t="shared" si="16"/>
        <v>-1.6818953886277299E-6</v>
      </c>
      <c r="M527" s="23">
        <v>41647</v>
      </c>
      <c r="N527" s="22">
        <v>713.82780000000002</v>
      </c>
      <c r="O527">
        <f t="shared" si="17"/>
        <v>-2.423494957093375E-5</v>
      </c>
    </row>
    <row r="528" spans="7:15" x14ac:dyDescent="0.25">
      <c r="G528" s="23">
        <v>41682</v>
      </c>
      <c r="H528" s="22">
        <v>411.99950000000001</v>
      </c>
      <c r="I528">
        <f t="shared" si="16"/>
        <v>-2.9126164106108021E-6</v>
      </c>
      <c r="J528" s="23">
        <v>41682</v>
      </c>
      <c r="K528" s="22">
        <v>594.47119999999995</v>
      </c>
      <c r="L528">
        <f t="shared" si="16"/>
        <v>-1.5994852045941865E-4</v>
      </c>
      <c r="M528" s="23">
        <v>41648</v>
      </c>
      <c r="N528" s="22">
        <v>721.23569999999995</v>
      </c>
      <c r="O528">
        <f t="shared" si="17"/>
        <v>1.037771294421419E-2</v>
      </c>
    </row>
    <row r="529" spans="7:15" x14ac:dyDescent="0.25">
      <c r="G529" s="23">
        <v>41683</v>
      </c>
      <c r="H529" s="22">
        <v>410.62119999999999</v>
      </c>
      <c r="I529">
        <f t="shared" si="16"/>
        <v>-3.3453924094568599E-3</v>
      </c>
      <c r="J529" s="23">
        <v>41683</v>
      </c>
      <c r="K529" s="22">
        <v>594.48050000000001</v>
      </c>
      <c r="L529">
        <f t="shared" si="16"/>
        <v>1.5644155680005767E-5</v>
      </c>
      <c r="M529" s="23">
        <v>41649</v>
      </c>
      <c r="N529" s="22">
        <v>720.21010000000001</v>
      </c>
      <c r="O529">
        <f t="shared" si="17"/>
        <v>-1.4220039301992005E-3</v>
      </c>
    </row>
    <row r="530" spans="7:15" x14ac:dyDescent="0.25">
      <c r="G530" s="23">
        <v>41684</v>
      </c>
      <c r="H530" s="22">
        <v>410.61439999999999</v>
      </c>
      <c r="I530">
        <f t="shared" si="16"/>
        <v>-1.6560275017507564E-5</v>
      </c>
      <c r="J530" s="23">
        <v>41684</v>
      </c>
      <c r="K530" s="22">
        <v>594.46270000000004</v>
      </c>
      <c r="L530">
        <f t="shared" si="16"/>
        <v>-2.9942109118774596E-5</v>
      </c>
      <c r="M530" s="23">
        <v>41652</v>
      </c>
      <c r="N530" s="22">
        <v>720.20579999999995</v>
      </c>
      <c r="O530">
        <f t="shared" si="17"/>
        <v>-5.9704800030591088E-6</v>
      </c>
    </row>
    <row r="531" spans="7:15" x14ac:dyDescent="0.25">
      <c r="G531" s="23">
        <v>41688</v>
      </c>
      <c r="H531" s="22">
        <v>410.67099999999999</v>
      </c>
      <c r="I531">
        <f t="shared" si="16"/>
        <v>1.378422188798023E-4</v>
      </c>
      <c r="J531" s="23">
        <v>41688</v>
      </c>
      <c r="K531" s="22">
        <v>594.47</v>
      </c>
      <c r="L531">
        <f t="shared" si="16"/>
        <v>1.2279996709718688E-5</v>
      </c>
      <c r="M531" s="23">
        <v>41653</v>
      </c>
      <c r="N531" s="22">
        <v>719.4357</v>
      </c>
      <c r="O531">
        <f t="shared" si="17"/>
        <v>-1.0692776981245933E-3</v>
      </c>
    </row>
    <row r="532" spans="7:15" x14ac:dyDescent="0.25">
      <c r="G532" s="23">
        <v>41689</v>
      </c>
      <c r="H532" s="22">
        <v>410.67329999999998</v>
      </c>
      <c r="I532">
        <f t="shared" si="16"/>
        <v>5.6005902535627428E-6</v>
      </c>
      <c r="J532" s="23">
        <v>41689</v>
      </c>
      <c r="K532" s="22">
        <v>594.45069999999998</v>
      </c>
      <c r="L532">
        <f t="shared" si="16"/>
        <v>-3.2465893989641614E-5</v>
      </c>
      <c r="M532" s="23">
        <v>41654</v>
      </c>
      <c r="N532" s="22">
        <v>712.92650000000003</v>
      </c>
      <c r="O532">
        <f t="shared" si="17"/>
        <v>-9.0476466486163476E-3</v>
      </c>
    </row>
    <row r="533" spans="7:15" x14ac:dyDescent="0.25">
      <c r="G533" s="23">
        <v>41690</v>
      </c>
      <c r="H533" s="22">
        <v>410.673</v>
      </c>
      <c r="I533">
        <f t="shared" si="16"/>
        <v>-7.3050768090165974E-7</v>
      </c>
      <c r="J533" s="23">
        <v>41690</v>
      </c>
      <c r="K533" s="22">
        <v>594.47500000000002</v>
      </c>
      <c r="L533">
        <f t="shared" si="16"/>
        <v>4.0878074498040817E-5</v>
      </c>
      <c r="M533" s="23">
        <v>41655</v>
      </c>
      <c r="N533" s="22">
        <v>689.60360000000003</v>
      </c>
      <c r="O533">
        <f t="shared" si="17"/>
        <v>-3.2714312064427431E-2</v>
      </c>
    </row>
    <row r="534" spans="7:15" x14ac:dyDescent="0.25">
      <c r="G534" s="23">
        <v>41691</v>
      </c>
      <c r="H534" s="22">
        <v>410.63889999999998</v>
      </c>
      <c r="I534">
        <f t="shared" si="16"/>
        <v>-8.3034433722262158E-5</v>
      </c>
      <c r="J534" s="23">
        <v>41691</v>
      </c>
      <c r="K534" s="22">
        <v>594.47190000000001</v>
      </c>
      <c r="L534">
        <f t="shared" si="16"/>
        <v>-5.2146852265178012E-6</v>
      </c>
      <c r="M534" s="23">
        <v>41656</v>
      </c>
      <c r="N534" s="22">
        <v>689.59810000000004</v>
      </c>
      <c r="O534">
        <f t="shared" si="17"/>
        <v>-7.9755964150773906E-6</v>
      </c>
    </row>
    <row r="535" spans="7:15" x14ac:dyDescent="0.25">
      <c r="G535" s="23">
        <v>41694</v>
      </c>
      <c r="H535" s="22">
        <v>410.64229999999998</v>
      </c>
      <c r="I535">
        <f t="shared" si="16"/>
        <v>8.2797806053580558E-6</v>
      </c>
      <c r="J535" s="23">
        <v>41694</v>
      </c>
      <c r="K535" s="22">
        <v>594.47159999999997</v>
      </c>
      <c r="L535">
        <f t="shared" si="16"/>
        <v>-5.0464958900597878E-7</v>
      </c>
      <c r="M535" s="23">
        <v>41659</v>
      </c>
      <c r="N535" s="22">
        <v>689.59810000000004</v>
      </c>
      <c r="O535">
        <f t="shared" si="17"/>
        <v>0</v>
      </c>
    </row>
    <row r="536" spans="7:15" x14ac:dyDescent="0.25">
      <c r="G536" s="23">
        <v>41695</v>
      </c>
      <c r="H536" s="22">
        <v>410.58229999999998</v>
      </c>
      <c r="I536">
        <f t="shared" si="16"/>
        <v>-1.4611256560759234E-4</v>
      </c>
      <c r="J536" s="23">
        <v>41695</v>
      </c>
      <c r="K536" s="22">
        <v>594.66970000000003</v>
      </c>
      <c r="L536">
        <f t="shared" si="16"/>
        <v>3.3323711342991835E-4</v>
      </c>
      <c r="M536" s="23">
        <v>41660</v>
      </c>
      <c r="N536" s="22">
        <v>689.56150000000002</v>
      </c>
      <c r="O536">
        <f t="shared" si="17"/>
        <v>-5.3074392171392759E-5</v>
      </c>
    </row>
    <row r="537" spans="7:15" x14ac:dyDescent="0.25">
      <c r="G537" s="23">
        <v>41696</v>
      </c>
      <c r="H537" s="22">
        <v>410.8229</v>
      </c>
      <c r="I537">
        <f t="shared" si="16"/>
        <v>5.8599700961292633E-4</v>
      </c>
      <c r="J537" s="23">
        <v>41696</v>
      </c>
      <c r="K537" s="22">
        <v>594.73209999999995</v>
      </c>
      <c r="L537">
        <f t="shared" si="16"/>
        <v>1.0493220017759874E-4</v>
      </c>
      <c r="M537" s="23">
        <v>41661</v>
      </c>
      <c r="N537" s="22">
        <v>689.57479999999998</v>
      </c>
      <c r="O537">
        <f t="shared" si="17"/>
        <v>1.9287619740904205E-5</v>
      </c>
    </row>
    <row r="538" spans="7:15" x14ac:dyDescent="0.25">
      <c r="G538" s="23">
        <v>41697</v>
      </c>
      <c r="H538" s="22">
        <v>410.83929999999998</v>
      </c>
      <c r="I538">
        <f t="shared" si="16"/>
        <v>3.9919877883987098E-5</v>
      </c>
      <c r="J538" s="23">
        <v>41697</v>
      </c>
      <c r="K538" s="22">
        <v>594.76170000000002</v>
      </c>
      <c r="L538">
        <f t="shared" si="16"/>
        <v>4.9770308345742365E-5</v>
      </c>
      <c r="M538" s="23">
        <v>41662</v>
      </c>
      <c r="N538" s="22">
        <v>689.7432</v>
      </c>
      <c r="O538">
        <f t="shared" si="17"/>
        <v>2.4420846005401842E-4</v>
      </c>
    </row>
    <row r="539" spans="7:15" x14ac:dyDescent="0.25">
      <c r="G539" s="23">
        <v>41698</v>
      </c>
      <c r="H539" s="22">
        <v>410.87400000000002</v>
      </c>
      <c r="I539">
        <f t="shared" si="16"/>
        <v>8.4461247986888921E-5</v>
      </c>
      <c r="J539" s="23">
        <v>41698</v>
      </c>
      <c r="K539" s="22">
        <v>603.59789999999998</v>
      </c>
      <c r="L539">
        <f t="shared" si="16"/>
        <v>1.4856706475887771E-2</v>
      </c>
      <c r="M539" s="23">
        <v>41663</v>
      </c>
      <c r="N539" s="22">
        <v>689.75959999999998</v>
      </c>
      <c r="O539">
        <f t="shared" si="17"/>
        <v>2.3776965108135428E-5</v>
      </c>
    </row>
    <row r="540" spans="7:15" x14ac:dyDescent="0.25">
      <c r="G540" s="23">
        <v>41701</v>
      </c>
      <c r="H540" s="22">
        <v>410.82080000000002</v>
      </c>
      <c r="I540">
        <f t="shared" si="16"/>
        <v>-1.2948008391866495E-4</v>
      </c>
      <c r="J540" s="23">
        <v>41701</v>
      </c>
      <c r="K540" s="22">
        <v>603.0059</v>
      </c>
      <c r="L540">
        <f t="shared" si="16"/>
        <v>-9.8078538709289731E-4</v>
      </c>
      <c r="M540" s="23">
        <v>41666</v>
      </c>
      <c r="N540" s="22">
        <v>689.56489999999997</v>
      </c>
      <c r="O540">
        <f t="shared" si="17"/>
        <v>-2.822722583346593E-4</v>
      </c>
    </row>
    <row r="541" spans="7:15" x14ac:dyDescent="0.25">
      <c r="G541" s="23">
        <v>41702</v>
      </c>
      <c r="H541" s="22">
        <v>410.76609999999999</v>
      </c>
      <c r="I541">
        <f t="shared" si="16"/>
        <v>-1.3314807818887164E-4</v>
      </c>
      <c r="J541" s="23">
        <v>41702</v>
      </c>
      <c r="K541" s="22">
        <v>602.99749999999995</v>
      </c>
      <c r="L541">
        <f t="shared" si="16"/>
        <v>-1.3930211959833905E-5</v>
      </c>
      <c r="M541" s="23">
        <v>41667</v>
      </c>
      <c r="N541" s="22">
        <v>689.54650000000004</v>
      </c>
      <c r="O541">
        <f t="shared" si="17"/>
        <v>-2.668349273571291E-5</v>
      </c>
    </row>
    <row r="542" spans="7:15" x14ac:dyDescent="0.25">
      <c r="G542" s="23">
        <v>41703</v>
      </c>
      <c r="H542" s="22">
        <v>410.63709999999998</v>
      </c>
      <c r="I542">
        <f t="shared" si="16"/>
        <v>-3.1404733740203472E-4</v>
      </c>
      <c r="J542" s="23">
        <v>41703</v>
      </c>
      <c r="K542" s="22">
        <v>603.1001</v>
      </c>
      <c r="L542">
        <f t="shared" si="16"/>
        <v>1.7014995916242448E-4</v>
      </c>
      <c r="M542" s="23">
        <v>41668</v>
      </c>
      <c r="N542" s="22">
        <v>689.54549999999995</v>
      </c>
      <c r="O542">
        <f t="shared" si="17"/>
        <v>-1.4502285199391451E-6</v>
      </c>
    </row>
    <row r="543" spans="7:15" x14ac:dyDescent="0.25">
      <c r="G543" s="23">
        <v>41704</v>
      </c>
      <c r="H543" s="22">
        <v>410.78980000000001</v>
      </c>
      <c r="I543">
        <f t="shared" si="16"/>
        <v>3.7186118838272719E-4</v>
      </c>
      <c r="J543" s="23">
        <v>41704</v>
      </c>
      <c r="K543" s="22">
        <v>603.09010000000001</v>
      </c>
      <c r="L543">
        <f t="shared" si="16"/>
        <v>-1.6580995426784817E-5</v>
      </c>
      <c r="M543" s="23">
        <v>41669</v>
      </c>
      <c r="N543" s="22">
        <v>688.61980000000005</v>
      </c>
      <c r="O543">
        <f t="shared" si="17"/>
        <v>-1.342478487641352E-3</v>
      </c>
    </row>
    <row r="544" spans="7:15" x14ac:dyDescent="0.25">
      <c r="G544" s="23">
        <v>41705</v>
      </c>
      <c r="H544" s="22">
        <v>410.78620000000001</v>
      </c>
      <c r="I544">
        <f t="shared" si="16"/>
        <v>-8.7636061071316718E-6</v>
      </c>
      <c r="J544" s="23">
        <v>41705</v>
      </c>
      <c r="K544" s="22">
        <v>602.89840000000004</v>
      </c>
      <c r="L544">
        <f t="shared" si="16"/>
        <v>-3.1786295281577281E-4</v>
      </c>
      <c r="M544" s="23">
        <v>41670</v>
      </c>
      <c r="N544" s="22">
        <v>689.26170000000002</v>
      </c>
      <c r="O544">
        <f t="shared" si="17"/>
        <v>9.3215443413030563E-4</v>
      </c>
    </row>
    <row r="545" spans="7:15" x14ac:dyDescent="0.25">
      <c r="G545" s="23">
        <v>41708</v>
      </c>
      <c r="H545" s="22">
        <v>410.78910000000002</v>
      </c>
      <c r="I545">
        <f t="shared" si="16"/>
        <v>7.059633454042924E-6</v>
      </c>
      <c r="J545" s="23">
        <v>41708</v>
      </c>
      <c r="K545" s="22">
        <v>602.89980000000003</v>
      </c>
      <c r="L545">
        <f t="shared" si="16"/>
        <v>2.3221159650699263E-6</v>
      </c>
      <c r="M545" s="23">
        <v>41673</v>
      </c>
      <c r="N545" s="22">
        <v>689.26279999999997</v>
      </c>
      <c r="O545">
        <f t="shared" si="17"/>
        <v>1.5959105228446901E-6</v>
      </c>
    </row>
    <row r="546" spans="7:15" x14ac:dyDescent="0.25">
      <c r="G546" s="23">
        <v>41709</v>
      </c>
      <c r="H546" s="22">
        <v>410.70150000000001</v>
      </c>
      <c r="I546">
        <f t="shared" si="16"/>
        <v>-2.1324811198741855E-4</v>
      </c>
      <c r="J546" s="23">
        <v>41709</v>
      </c>
      <c r="K546" s="22">
        <v>602.80330000000004</v>
      </c>
      <c r="L546">
        <f t="shared" si="16"/>
        <v>-1.6005976449151582E-4</v>
      </c>
      <c r="M546" s="23">
        <v>41674</v>
      </c>
      <c r="N546" s="22">
        <v>689.25429999999994</v>
      </c>
      <c r="O546">
        <f t="shared" si="17"/>
        <v>-1.2332016177341032E-5</v>
      </c>
    </row>
    <row r="547" spans="7:15" x14ac:dyDescent="0.25">
      <c r="G547" s="23">
        <v>41710</v>
      </c>
      <c r="H547" s="22">
        <v>410.65050000000002</v>
      </c>
      <c r="I547">
        <f t="shared" si="16"/>
        <v>-1.2417777875173286E-4</v>
      </c>
      <c r="J547" s="23">
        <v>41710</v>
      </c>
      <c r="K547" s="22">
        <v>602.81349999999998</v>
      </c>
      <c r="L547">
        <f t="shared" si="16"/>
        <v>1.6920942536247097E-5</v>
      </c>
      <c r="M547" s="23">
        <v>41675</v>
      </c>
      <c r="N547" s="22">
        <v>685.07669999999996</v>
      </c>
      <c r="O547">
        <f t="shared" si="17"/>
        <v>-6.0610430722013442E-3</v>
      </c>
    </row>
    <row r="548" spans="7:15" x14ac:dyDescent="0.25">
      <c r="G548" s="23">
        <v>41711</v>
      </c>
      <c r="H548" s="22">
        <v>410.6499</v>
      </c>
      <c r="I548">
        <f t="shared" si="16"/>
        <v>-1.4610964799155468E-6</v>
      </c>
      <c r="J548" s="23">
        <v>41711</v>
      </c>
      <c r="K548" s="22">
        <v>602.7835</v>
      </c>
      <c r="L548">
        <f t="shared" si="16"/>
        <v>-4.976663594957742E-5</v>
      </c>
      <c r="M548" s="23">
        <v>41676</v>
      </c>
      <c r="N548" s="22">
        <v>684.89660000000003</v>
      </c>
      <c r="O548">
        <f t="shared" si="17"/>
        <v>-2.6289027199422055E-4</v>
      </c>
    </row>
    <row r="549" spans="7:15" x14ac:dyDescent="0.25">
      <c r="G549" s="23">
        <v>41712</v>
      </c>
      <c r="H549" s="22">
        <v>410.64769999999999</v>
      </c>
      <c r="I549">
        <f t="shared" si="16"/>
        <v>-5.3573615871327362E-6</v>
      </c>
      <c r="J549" s="23">
        <v>41712</v>
      </c>
      <c r="K549" s="22">
        <v>602.73429999999996</v>
      </c>
      <c r="L549">
        <f t="shared" si="16"/>
        <v>-8.1621344977134136E-5</v>
      </c>
      <c r="M549" s="23">
        <v>41677</v>
      </c>
      <c r="N549" s="22">
        <v>684.71860000000004</v>
      </c>
      <c r="O549">
        <f t="shared" si="17"/>
        <v>-2.5989324519937185E-4</v>
      </c>
    </row>
    <row r="550" spans="7:15" x14ac:dyDescent="0.25">
      <c r="G550" s="23">
        <v>41715</v>
      </c>
      <c r="H550" s="22">
        <v>410.64409999999998</v>
      </c>
      <c r="I550">
        <f t="shared" si="16"/>
        <v>-8.766638654011949E-6</v>
      </c>
      <c r="J550" s="23">
        <v>41715</v>
      </c>
      <c r="K550" s="22">
        <v>602.60990000000004</v>
      </c>
      <c r="L550">
        <f t="shared" si="16"/>
        <v>-2.0639276709477627E-4</v>
      </c>
      <c r="M550" s="23">
        <v>41680</v>
      </c>
      <c r="N550" s="22">
        <v>684.97190000000001</v>
      </c>
      <c r="O550">
        <f t="shared" si="17"/>
        <v>3.6993299145082759E-4</v>
      </c>
    </row>
    <row r="551" spans="7:15" x14ac:dyDescent="0.25">
      <c r="G551" s="23">
        <v>41716</v>
      </c>
      <c r="H551" s="22">
        <v>410.60669999999999</v>
      </c>
      <c r="I551">
        <f t="shared" si="16"/>
        <v>-9.1076433339720708E-5</v>
      </c>
      <c r="J551" s="23">
        <v>41716</v>
      </c>
      <c r="K551" s="22">
        <v>602.6748</v>
      </c>
      <c r="L551">
        <f t="shared" si="16"/>
        <v>1.0769819745726217E-4</v>
      </c>
      <c r="M551" s="23">
        <v>41681</v>
      </c>
      <c r="N551" s="22">
        <v>684.97649999999999</v>
      </c>
      <c r="O551">
        <f t="shared" si="17"/>
        <v>6.7156039540439139E-6</v>
      </c>
    </row>
    <row r="552" spans="7:15" x14ac:dyDescent="0.25">
      <c r="G552" s="23">
        <v>41717</v>
      </c>
      <c r="H552" s="22">
        <v>410.53590000000003</v>
      </c>
      <c r="I552">
        <f t="shared" si="16"/>
        <v>-1.7242777577652912E-4</v>
      </c>
      <c r="J552" s="23">
        <v>41717</v>
      </c>
      <c r="K552" s="22">
        <v>602.48059999999998</v>
      </c>
      <c r="L552">
        <f t="shared" si="16"/>
        <v>-3.2223016459298481E-4</v>
      </c>
      <c r="M552" s="23">
        <v>41682</v>
      </c>
      <c r="N552" s="22">
        <v>684.89660000000003</v>
      </c>
      <c r="O552">
        <f t="shared" si="17"/>
        <v>-1.1664633750196884E-4</v>
      </c>
    </row>
    <row r="553" spans="7:15" x14ac:dyDescent="0.25">
      <c r="G553" s="23">
        <v>41718</v>
      </c>
      <c r="H553" s="22">
        <v>410.50069999999999</v>
      </c>
      <c r="I553">
        <f t="shared" si="16"/>
        <v>-8.5741588007337555E-5</v>
      </c>
      <c r="J553" s="23">
        <v>41718</v>
      </c>
      <c r="K553" s="22">
        <v>602.49559999999997</v>
      </c>
      <c r="L553">
        <f t="shared" si="16"/>
        <v>2.4897067224971536E-5</v>
      </c>
      <c r="M553" s="23">
        <v>41683</v>
      </c>
      <c r="N553" s="22">
        <v>684.89110000000005</v>
      </c>
      <c r="O553">
        <f t="shared" si="17"/>
        <v>-8.0304092617833334E-6</v>
      </c>
    </row>
    <row r="554" spans="7:15" x14ac:dyDescent="0.25">
      <c r="G554" s="23">
        <v>41719</v>
      </c>
      <c r="H554" s="22">
        <v>410.39580000000001</v>
      </c>
      <c r="I554">
        <f t="shared" si="16"/>
        <v>-2.5554158616536427E-4</v>
      </c>
      <c r="J554" s="23">
        <v>41719</v>
      </c>
      <c r="K554" s="22">
        <v>602.07249999999999</v>
      </c>
      <c r="L554">
        <f t="shared" si="16"/>
        <v>-7.0224579233435502E-4</v>
      </c>
      <c r="M554" s="23">
        <v>41684</v>
      </c>
      <c r="N554" s="22">
        <v>684.85209999999995</v>
      </c>
      <c r="O554">
        <f t="shared" si="17"/>
        <v>-5.6943359316719011E-5</v>
      </c>
    </row>
    <row r="555" spans="7:15" x14ac:dyDescent="0.25">
      <c r="G555" s="23">
        <v>41722</v>
      </c>
      <c r="H555" s="22">
        <v>410.46300000000002</v>
      </c>
      <c r="I555">
        <f t="shared" si="16"/>
        <v>1.6374436580490759E-4</v>
      </c>
      <c r="J555" s="23">
        <v>41722</v>
      </c>
      <c r="K555" s="22">
        <v>601.8886</v>
      </c>
      <c r="L555">
        <f t="shared" si="16"/>
        <v>-3.054449422619232E-4</v>
      </c>
      <c r="M555" s="23">
        <v>41687</v>
      </c>
      <c r="N555" s="22">
        <v>684.85209999999995</v>
      </c>
      <c r="O555">
        <f t="shared" si="17"/>
        <v>0</v>
      </c>
    </row>
    <row r="556" spans="7:15" x14ac:dyDescent="0.25">
      <c r="G556" s="23">
        <v>41723</v>
      </c>
      <c r="H556" s="22">
        <v>410.46390000000002</v>
      </c>
      <c r="I556">
        <f t="shared" si="16"/>
        <v>2.1926458657617331E-6</v>
      </c>
      <c r="J556" s="23">
        <v>41723</v>
      </c>
      <c r="K556" s="22">
        <v>601.73299999999995</v>
      </c>
      <c r="L556">
        <f t="shared" si="16"/>
        <v>-2.5851959980638384E-4</v>
      </c>
      <c r="M556" s="23">
        <v>41688</v>
      </c>
      <c r="N556" s="22">
        <v>684.85709999999995</v>
      </c>
      <c r="O556">
        <f t="shared" si="17"/>
        <v>7.3008464163137887E-6</v>
      </c>
    </row>
    <row r="557" spans="7:15" x14ac:dyDescent="0.25">
      <c r="G557" s="23">
        <v>41724</v>
      </c>
      <c r="H557" s="22">
        <v>410.41500000000002</v>
      </c>
      <c r="I557">
        <f t="shared" si="16"/>
        <v>-1.1913349748904345E-4</v>
      </c>
      <c r="J557" s="23">
        <v>41724</v>
      </c>
      <c r="K557" s="22">
        <v>601.7396</v>
      </c>
      <c r="L557">
        <f t="shared" si="16"/>
        <v>1.0968319836379692E-5</v>
      </c>
      <c r="M557" s="23">
        <v>41689</v>
      </c>
      <c r="N557" s="22">
        <v>684.86069999999995</v>
      </c>
      <c r="O557">
        <f t="shared" si="17"/>
        <v>5.2565710424445911E-6</v>
      </c>
    </row>
    <row r="558" spans="7:15" x14ac:dyDescent="0.25">
      <c r="G558" s="23">
        <v>41725</v>
      </c>
      <c r="H558" s="22">
        <v>409.86660000000001</v>
      </c>
      <c r="I558">
        <f t="shared" si="16"/>
        <v>-1.3362084719126255E-3</v>
      </c>
      <c r="J558" s="23">
        <v>41725</v>
      </c>
      <c r="K558" s="22">
        <v>601.75459999999998</v>
      </c>
      <c r="L558">
        <f t="shared" si="16"/>
        <v>2.4927726212542467E-5</v>
      </c>
      <c r="M558" s="23">
        <v>41690</v>
      </c>
      <c r="N558" s="22">
        <v>685.11239999999998</v>
      </c>
      <c r="O558">
        <f t="shared" si="17"/>
        <v>3.6751999348183517E-4</v>
      </c>
    </row>
    <row r="559" spans="7:15" x14ac:dyDescent="0.25">
      <c r="G559" s="23">
        <v>41726</v>
      </c>
      <c r="H559" s="22">
        <v>409.86829999999998</v>
      </c>
      <c r="I559">
        <f t="shared" si="16"/>
        <v>4.1476909804494255E-6</v>
      </c>
      <c r="J559" s="23">
        <v>41726</v>
      </c>
      <c r="K559" s="22">
        <v>601.72109999999998</v>
      </c>
      <c r="L559">
        <f t="shared" si="16"/>
        <v>-5.5670534134688587E-5</v>
      </c>
      <c r="M559" s="23">
        <v>41691</v>
      </c>
      <c r="N559" s="22">
        <v>685.13710000000003</v>
      </c>
      <c r="O559">
        <f t="shared" si="17"/>
        <v>3.6052478396220167E-5</v>
      </c>
    </row>
    <row r="560" spans="7:15" x14ac:dyDescent="0.25">
      <c r="G560" s="23">
        <v>41729</v>
      </c>
      <c r="H560" s="22">
        <v>409.69900000000001</v>
      </c>
      <c r="I560">
        <f t="shared" si="16"/>
        <v>-4.1305951204317903E-4</v>
      </c>
      <c r="J560" s="23">
        <v>41729</v>
      </c>
      <c r="K560" s="22">
        <v>601.7817</v>
      </c>
      <c r="L560">
        <f t="shared" si="16"/>
        <v>1.0071111018050694E-4</v>
      </c>
      <c r="M560" s="23">
        <v>41694</v>
      </c>
      <c r="N560" s="22">
        <v>685.13670000000002</v>
      </c>
      <c r="O560">
        <f t="shared" si="17"/>
        <v>-5.8382475565110781E-7</v>
      </c>
    </row>
    <row r="561" spans="7:15" x14ac:dyDescent="0.25">
      <c r="G561" s="23">
        <v>41730</v>
      </c>
      <c r="H561" s="22">
        <v>409.69220000000001</v>
      </c>
      <c r="I561">
        <f t="shared" si="16"/>
        <v>-1.6597550884900336E-5</v>
      </c>
      <c r="J561" s="23">
        <v>41730</v>
      </c>
      <c r="K561" s="22">
        <v>601.77890000000002</v>
      </c>
      <c r="L561">
        <f t="shared" si="16"/>
        <v>-4.652850028485922E-6</v>
      </c>
      <c r="M561" s="23">
        <v>41695</v>
      </c>
      <c r="N561" s="22">
        <v>685.13670000000002</v>
      </c>
      <c r="O561">
        <f t="shared" si="17"/>
        <v>0</v>
      </c>
    </row>
    <row r="562" spans="7:15" x14ac:dyDescent="0.25">
      <c r="G562" s="23">
        <v>41731</v>
      </c>
      <c r="H562" s="22">
        <v>409.4008</v>
      </c>
      <c r="I562">
        <f t="shared" si="16"/>
        <v>-7.1126567701318422E-4</v>
      </c>
      <c r="J562" s="23">
        <v>41731</v>
      </c>
      <c r="K562" s="22">
        <v>601.92769999999996</v>
      </c>
      <c r="L562">
        <f t="shared" si="16"/>
        <v>2.4726689486787023E-4</v>
      </c>
      <c r="M562" s="23">
        <v>41696</v>
      </c>
      <c r="N562" s="22">
        <v>687.6508</v>
      </c>
      <c r="O562">
        <f t="shared" si="17"/>
        <v>3.6694866878390631E-3</v>
      </c>
    </row>
    <row r="563" spans="7:15" x14ac:dyDescent="0.25">
      <c r="G563" s="23">
        <v>41732</v>
      </c>
      <c r="H563" s="22">
        <v>409.35899999999998</v>
      </c>
      <c r="I563">
        <f t="shared" si="16"/>
        <v>-1.0210043556346804E-4</v>
      </c>
      <c r="J563" s="23">
        <v>41732</v>
      </c>
      <c r="K563" s="22">
        <v>601.61599999999999</v>
      </c>
      <c r="L563">
        <f t="shared" si="16"/>
        <v>-5.1783627834367518E-4</v>
      </c>
      <c r="M563" s="23">
        <v>41697</v>
      </c>
      <c r="N563" s="22">
        <v>687.50009999999997</v>
      </c>
      <c r="O563">
        <f t="shared" si="17"/>
        <v>-2.1915193002031153E-4</v>
      </c>
    </row>
    <row r="564" spans="7:15" x14ac:dyDescent="0.25">
      <c r="G564" s="23">
        <v>41733</v>
      </c>
      <c r="H564" s="22">
        <v>409.2561</v>
      </c>
      <c r="I564">
        <f t="shared" si="16"/>
        <v>-2.5136860310870368E-4</v>
      </c>
      <c r="J564" s="23">
        <v>41733</v>
      </c>
      <c r="K564" s="22">
        <v>601.26189999999997</v>
      </c>
      <c r="L564">
        <f t="shared" si="16"/>
        <v>-5.8858142070694619E-4</v>
      </c>
      <c r="M564" s="23">
        <v>41698</v>
      </c>
      <c r="N564" s="22">
        <v>691.22159999999997</v>
      </c>
      <c r="O564">
        <f t="shared" si="17"/>
        <v>5.4130901217324112E-3</v>
      </c>
    </row>
    <row r="565" spans="7:15" x14ac:dyDescent="0.25">
      <c r="G565" s="23">
        <v>41736</v>
      </c>
      <c r="H565" s="22">
        <v>409.02179999999998</v>
      </c>
      <c r="I565">
        <f t="shared" si="16"/>
        <v>-5.7250215696236229E-4</v>
      </c>
      <c r="J565" s="23">
        <v>41736</v>
      </c>
      <c r="K565" s="22">
        <v>601.36659999999995</v>
      </c>
      <c r="L565">
        <f t="shared" si="16"/>
        <v>1.7413376766417521E-4</v>
      </c>
      <c r="M565" s="23">
        <v>41701</v>
      </c>
      <c r="N565" s="22">
        <v>692.27020000000005</v>
      </c>
      <c r="O565">
        <f t="shared" si="17"/>
        <v>1.5170243522484306E-3</v>
      </c>
    </row>
    <row r="566" spans="7:15" x14ac:dyDescent="0.25">
      <c r="G566" s="23">
        <v>41737</v>
      </c>
      <c r="H566" s="22">
        <v>409.02330000000001</v>
      </c>
      <c r="I566">
        <f t="shared" si="16"/>
        <v>3.6672861936093426E-6</v>
      </c>
      <c r="J566" s="23">
        <v>41737</v>
      </c>
      <c r="K566" s="22">
        <v>601.36739999999998</v>
      </c>
      <c r="L566">
        <f t="shared" si="16"/>
        <v>1.3303033457034985E-6</v>
      </c>
      <c r="M566" s="23">
        <v>41702</v>
      </c>
      <c r="N566" s="22">
        <v>692.7405</v>
      </c>
      <c r="O566">
        <f t="shared" si="17"/>
        <v>6.7935901328697312E-4</v>
      </c>
    </row>
    <row r="567" spans="7:15" x14ac:dyDescent="0.25">
      <c r="G567" s="23">
        <v>41738</v>
      </c>
      <c r="H567" s="22">
        <v>409.02460000000002</v>
      </c>
      <c r="I567">
        <f t="shared" si="16"/>
        <v>3.1783030454146655E-6</v>
      </c>
      <c r="J567" s="23">
        <v>41738</v>
      </c>
      <c r="K567" s="22">
        <v>601.49350000000004</v>
      </c>
      <c r="L567">
        <f t="shared" si="16"/>
        <v>2.0968878592375617E-4</v>
      </c>
      <c r="M567" s="23">
        <v>41703</v>
      </c>
      <c r="N567" s="22">
        <v>692.73099999999999</v>
      </c>
      <c r="O567">
        <f t="shared" si="17"/>
        <v>-1.3713648906010789E-5</v>
      </c>
    </row>
    <row r="568" spans="7:15" x14ac:dyDescent="0.25">
      <c r="G568" s="23">
        <v>41739</v>
      </c>
      <c r="H568" s="22">
        <v>409.01920000000001</v>
      </c>
      <c r="I568">
        <f t="shared" si="16"/>
        <v>-1.3202139920176492E-5</v>
      </c>
      <c r="J568" s="23">
        <v>41739</v>
      </c>
      <c r="K568" s="22">
        <v>601.64369999999997</v>
      </c>
      <c r="L568">
        <f t="shared" si="16"/>
        <v>2.4971175914600963E-4</v>
      </c>
      <c r="M568" s="23">
        <v>41704</v>
      </c>
      <c r="N568" s="22">
        <v>693.41110000000003</v>
      </c>
      <c r="O568">
        <f t="shared" si="17"/>
        <v>9.8176637107338927E-4</v>
      </c>
    </row>
    <row r="569" spans="7:15" x14ac:dyDescent="0.25">
      <c r="G569" s="23">
        <v>41740</v>
      </c>
      <c r="H569" s="22">
        <v>409.02080000000001</v>
      </c>
      <c r="I569">
        <f t="shared" si="16"/>
        <v>3.9117968055890628E-6</v>
      </c>
      <c r="J569" s="23">
        <v>41740</v>
      </c>
      <c r="K569" s="22">
        <v>601.74860000000001</v>
      </c>
      <c r="L569">
        <f t="shared" si="16"/>
        <v>1.7435568593171524E-4</v>
      </c>
      <c r="M569" s="23">
        <v>41705</v>
      </c>
      <c r="N569" s="22">
        <v>693.50620000000004</v>
      </c>
      <c r="O569">
        <f t="shared" si="17"/>
        <v>1.3714807853526523E-4</v>
      </c>
    </row>
    <row r="570" spans="7:15" x14ac:dyDescent="0.25">
      <c r="G570" s="23">
        <v>41743</v>
      </c>
      <c r="H570" s="22">
        <v>408.78399999999999</v>
      </c>
      <c r="I570">
        <f t="shared" si="16"/>
        <v>-5.7894366252286833E-4</v>
      </c>
      <c r="J570" s="23">
        <v>41743</v>
      </c>
      <c r="K570" s="22">
        <v>601.67349999999999</v>
      </c>
      <c r="L570">
        <f t="shared" si="16"/>
        <v>-1.2480294927152968E-4</v>
      </c>
      <c r="M570" s="23">
        <v>41708</v>
      </c>
      <c r="N570" s="22">
        <v>693.64890000000003</v>
      </c>
      <c r="O570">
        <f t="shared" si="17"/>
        <v>2.0576600468746875E-4</v>
      </c>
    </row>
    <row r="571" spans="7:15" x14ac:dyDescent="0.25">
      <c r="G571" s="23">
        <v>41744</v>
      </c>
      <c r="H571" s="22">
        <v>408.94310000000002</v>
      </c>
      <c r="I571">
        <f t="shared" si="16"/>
        <v>3.8920309992573898E-4</v>
      </c>
      <c r="J571" s="23">
        <v>41744</v>
      </c>
      <c r="K571" s="22">
        <v>601.63229999999999</v>
      </c>
      <c r="L571">
        <f t="shared" si="16"/>
        <v>-6.8475676592072432E-5</v>
      </c>
      <c r="M571" s="23">
        <v>41709</v>
      </c>
      <c r="N571" s="22">
        <v>693.98500000000001</v>
      </c>
      <c r="O571">
        <f t="shared" si="17"/>
        <v>4.845390802177274E-4</v>
      </c>
    </row>
    <row r="572" spans="7:15" x14ac:dyDescent="0.25">
      <c r="G572" s="23">
        <v>41745</v>
      </c>
      <c r="H572" s="22">
        <v>409.00119999999998</v>
      </c>
      <c r="I572">
        <f t="shared" si="16"/>
        <v>1.4207355497619645E-4</v>
      </c>
      <c r="J572" s="23">
        <v>41745</v>
      </c>
      <c r="K572" s="22">
        <v>601.7337</v>
      </c>
      <c r="L572">
        <f t="shared" si="16"/>
        <v>1.6854148289580095E-4</v>
      </c>
      <c r="M572" s="23">
        <v>41710</v>
      </c>
      <c r="N572" s="22">
        <v>694.10249999999996</v>
      </c>
      <c r="O572">
        <f t="shared" si="17"/>
        <v>1.6931201683023644E-4</v>
      </c>
    </row>
    <row r="573" spans="7:15" x14ac:dyDescent="0.25">
      <c r="G573" s="23">
        <v>41746</v>
      </c>
      <c r="H573" s="22">
        <v>409.20100000000002</v>
      </c>
      <c r="I573">
        <f t="shared" si="16"/>
        <v>4.885071241844674E-4</v>
      </c>
      <c r="J573" s="23">
        <v>41746</v>
      </c>
      <c r="K573" s="22">
        <v>601.74689999999998</v>
      </c>
      <c r="L573">
        <f t="shared" si="16"/>
        <v>2.1936614153394984E-5</v>
      </c>
      <c r="M573" s="23">
        <v>41711</v>
      </c>
      <c r="N573" s="22">
        <v>694.10220000000004</v>
      </c>
      <c r="O573">
        <f t="shared" si="17"/>
        <v>-4.3221282153282914E-7</v>
      </c>
    </row>
    <row r="574" spans="7:15" x14ac:dyDescent="0.25">
      <c r="G574" s="23">
        <v>41750</v>
      </c>
      <c r="H574" s="22">
        <v>409.30509999999998</v>
      </c>
      <c r="I574">
        <f t="shared" si="16"/>
        <v>2.5439820528294632E-4</v>
      </c>
      <c r="J574" s="23">
        <v>41750</v>
      </c>
      <c r="K574" s="22">
        <v>601.78719999999998</v>
      </c>
      <c r="L574">
        <f t="shared" si="16"/>
        <v>6.6971678624350162E-5</v>
      </c>
      <c r="M574" s="23">
        <v>41712</v>
      </c>
      <c r="N574" s="22">
        <v>694.10080000000005</v>
      </c>
      <c r="O574">
        <f t="shared" si="17"/>
        <v>-2.0169940392333885E-6</v>
      </c>
    </row>
    <row r="575" spans="7:15" x14ac:dyDescent="0.25">
      <c r="G575" s="23">
        <v>41751</v>
      </c>
      <c r="H575" s="22">
        <v>409.30270000000002</v>
      </c>
      <c r="I575">
        <f t="shared" si="16"/>
        <v>-5.8635966176945331E-6</v>
      </c>
      <c r="J575" s="23">
        <v>41751</v>
      </c>
      <c r="K575" s="22">
        <v>601.77949999999998</v>
      </c>
      <c r="L575">
        <f t="shared" si="16"/>
        <v>-1.2795220636130367E-5</v>
      </c>
      <c r="M575" s="23">
        <v>41715</v>
      </c>
      <c r="N575" s="22">
        <v>694.19500000000005</v>
      </c>
      <c r="O575">
        <f t="shared" si="17"/>
        <v>1.3571515837473846E-4</v>
      </c>
    </row>
    <row r="576" spans="7:15" x14ac:dyDescent="0.25">
      <c r="G576" s="23">
        <v>41752</v>
      </c>
      <c r="H576" s="22">
        <v>409.29399999999998</v>
      </c>
      <c r="I576">
        <f t="shared" si="16"/>
        <v>-2.1255662374208839E-5</v>
      </c>
      <c r="J576" s="23">
        <v>41752</v>
      </c>
      <c r="K576" s="22">
        <v>601.76059999999995</v>
      </c>
      <c r="L576">
        <f t="shared" si="16"/>
        <v>-3.1406852510018624E-5</v>
      </c>
      <c r="M576" s="23">
        <v>41716</v>
      </c>
      <c r="N576" s="22">
        <v>694.19889999999998</v>
      </c>
      <c r="O576">
        <f t="shared" si="17"/>
        <v>5.618017991926294E-6</v>
      </c>
    </row>
    <row r="577" spans="7:15" x14ac:dyDescent="0.25">
      <c r="G577" s="23">
        <v>41753</v>
      </c>
      <c r="H577" s="22">
        <v>409.22590000000002</v>
      </c>
      <c r="I577">
        <f t="shared" si="16"/>
        <v>-1.6638406622127011E-4</v>
      </c>
      <c r="J577" s="23">
        <v>41753</v>
      </c>
      <c r="K577" s="22">
        <v>601.76239999999996</v>
      </c>
      <c r="L577">
        <f t="shared" si="16"/>
        <v>2.9912227552664206E-6</v>
      </c>
      <c r="M577" s="23">
        <v>41717</v>
      </c>
      <c r="N577" s="22">
        <v>694.19970000000001</v>
      </c>
      <c r="O577">
        <f t="shared" si="17"/>
        <v>1.1524074727820022E-6</v>
      </c>
    </row>
    <row r="578" spans="7:15" x14ac:dyDescent="0.25">
      <c r="G578" s="23">
        <v>41754</v>
      </c>
      <c r="H578" s="22">
        <v>409.22039999999998</v>
      </c>
      <c r="I578">
        <f t="shared" si="16"/>
        <v>-1.3440009540066633E-5</v>
      </c>
      <c r="J578" s="23">
        <v>41754</v>
      </c>
      <c r="K578" s="22">
        <v>601.79930000000002</v>
      </c>
      <c r="L578">
        <f t="shared" si="16"/>
        <v>6.1319883063681857E-5</v>
      </c>
      <c r="M578" s="23">
        <v>41718</v>
      </c>
      <c r="N578" s="22">
        <v>694.19730000000004</v>
      </c>
      <c r="O578">
        <f t="shared" si="17"/>
        <v>-3.4572184343106827E-6</v>
      </c>
    </row>
    <row r="579" spans="7:15" x14ac:dyDescent="0.25">
      <c r="G579" s="23">
        <v>41757</v>
      </c>
      <c r="H579" s="22">
        <v>409.2244</v>
      </c>
      <c r="I579">
        <f t="shared" si="16"/>
        <v>9.7746837646184304E-6</v>
      </c>
      <c r="J579" s="23">
        <v>41757</v>
      </c>
      <c r="K579" s="22">
        <v>601.80960000000005</v>
      </c>
      <c r="L579">
        <f t="shared" si="16"/>
        <v>1.7115340612772201E-5</v>
      </c>
      <c r="M579" s="23">
        <v>41719</v>
      </c>
      <c r="N579" s="22">
        <v>694.38620000000003</v>
      </c>
      <c r="O579">
        <f t="shared" si="17"/>
        <v>2.72112841694927E-4</v>
      </c>
    </row>
    <row r="580" spans="7:15" x14ac:dyDescent="0.25">
      <c r="G580" s="23">
        <v>41758</v>
      </c>
      <c r="H580" s="22">
        <v>408.97120000000001</v>
      </c>
      <c r="I580">
        <f t="shared" ref="I580:L643" si="18">H580/H579-1</f>
        <v>-6.1873143439150624E-4</v>
      </c>
      <c r="J580" s="23">
        <v>41758</v>
      </c>
      <c r="K580" s="22">
        <v>600.5385</v>
      </c>
      <c r="L580">
        <f t="shared" si="18"/>
        <v>-2.1121298164735736E-3</v>
      </c>
      <c r="M580" s="23">
        <v>41722</v>
      </c>
      <c r="N580" s="22">
        <v>694.35530000000006</v>
      </c>
      <c r="O580">
        <f t="shared" ref="O580:O643" si="19">N580/N579-1</f>
        <v>-4.4499732281488846E-5</v>
      </c>
    </row>
    <row r="581" spans="7:15" x14ac:dyDescent="0.25">
      <c r="G581" s="23">
        <v>41759</v>
      </c>
      <c r="H581" s="22">
        <v>409.14800000000002</v>
      </c>
      <c r="I581">
        <f t="shared" si="18"/>
        <v>4.3230427961682416E-4</v>
      </c>
      <c r="J581" s="23">
        <v>41759</v>
      </c>
      <c r="K581" s="22">
        <v>600.29150000000004</v>
      </c>
      <c r="L581">
        <f t="shared" si="18"/>
        <v>-4.1129752713597867E-4</v>
      </c>
      <c r="M581" s="23">
        <v>41723</v>
      </c>
      <c r="N581" s="22">
        <v>695.32240000000002</v>
      </c>
      <c r="O581">
        <f t="shared" si="19"/>
        <v>1.3928027913086005E-3</v>
      </c>
    </row>
    <row r="582" spans="7:15" x14ac:dyDescent="0.25">
      <c r="G582" s="23">
        <v>41760</v>
      </c>
      <c r="H582" s="22">
        <v>409.11790000000002</v>
      </c>
      <c r="I582">
        <f t="shared" si="18"/>
        <v>-7.3567511022942789E-5</v>
      </c>
      <c r="J582" s="23">
        <v>41760</v>
      </c>
      <c r="K582" s="22">
        <v>600.48320000000001</v>
      </c>
      <c r="L582">
        <f t="shared" si="18"/>
        <v>3.1934485162610216E-4</v>
      </c>
      <c r="M582" s="23">
        <v>41724</v>
      </c>
      <c r="N582" s="22">
        <v>695.31989999999996</v>
      </c>
      <c r="O582">
        <f t="shared" si="19"/>
        <v>-3.5954544252980725E-6</v>
      </c>
    </row>
    <row r="583" spans="7:15" x14ac:dyDescent="0.25">
      <c r="G583" s="23">
        <v>41761</v>
      </c>
      <c r="H583" s="22">
        <v>409.12220000000002</v>
      </c>
      <c r="I583">
        <f t="shared" si="18"/>
        <v>1.0510417657094706E-5</v>
      </c>
      <c r="J583" s="23">
        <v>41761</v>
      </c>
      <c r="K583" s="22">
        <v>600.35350000000005</v>
      </c>
      <c r="L583">
        <f t="shared" si="18"/>
        <v>-2.1599272052896801E-4</v>
      </c>
      <c r="M583" s="23">
        <v>41725</v>
      </c>
      <c r="N583" s="22">
        <v>695.30529999999999</v>
      </c>
      <c r="O583">
        <f t="shared" si="19"/>
        <v>-2.0997529338595555E-5</v>
      </c>
    </row>
    <row r="584" spans="7:15" x14ac:dyDescent="0.25">
      <c r="G584" s="23">
        <v>41764</v>
      </c>
      <c r="H584" s="22">
        <v>409.15879999999999</v>
      </c>
      <c r="I584">
        <f t="shared" si="18"/>
        <v>8.9459823984006093E-5</v>
      </c>
      <c r="J584" s="23">
        <v>41764</v>
      </c>
      <c r="K584" s="22">
        <v>600.34990000000005</v>
      </c>
      <c r="L584">
        <f t="shared" si="18"/>
        <v>-5.9964670814371956E-6</v>
      </c>
      <c r="M584" s="23">
        <v>41726</v>
      </c>
      <c r="N584" s="22">
        <v>695.30430000000001</v>
      </c>
      <c r="O584">
        <f t="shared" si="19"/>
        <v>-1.4382171399374144E-6</v>
      </c>
    </row>
    <row r="585" spans="7:15" x14ac:dyDescent="0.25">
      <c r="G585" s="23">
        <v>41765</v>
      </c>
      <c r="H585" s="22">
        <v>409.51580000000001</v>
      </c>
      <c r="I585">
        <f t="shared" si="18"/>
        <v>8.7252186681552324E-4</v>
      </c>
      <c r="J585" s="23">
        <v>41765</v>
      </c>
      <c r="K585" s="22">
        <v>600.58630000000005</v>
      </c>
      <c r="L585">
        <f t="shared" si="18"/>
        <v>3.9377036624799189E-4</v>
      </c>
      <c r="M585" s="23">
        <v>41729</v>
      </c>
      <c r="N585" s="22">
        <v>695.30340000000001</v>
      </c>
      <c r="O585">
        <f t="shared" si="19"/>
        <v>-1.2943972876877652E-6</v>
      </c>
    </row>
    <row r="586" spans="7:15" x14ac:dyDescent="0.25">
      <c r="G586" s="23">
        <v>41766</v>
      </c>
      <c r="H586" s="22">
        <v>409.53989999999999</v>
      </c>
      <c r="I586">
        <f t="shared" si="18"/>
        <v>5.8849988205489367E-5</v>
      </c>
      <c r="J586" s="23">
        <v>41766</v>
      </c>
      <c r="K586" s="22">
        <v>600.64030000000002</v>
      </c>
      <c r="L586">
        <f t="shared" si="18"/>
        <v>8.991214085307675E-5</v>
      </c>
      <c r="M586" s="23">
        <v>41730</v>
      </c>
      <c r="N586" s="22">
        <v>695.64210000000003</v>
      </c>
      <c r="O586">
        <f t="shared" si="19"/>
        <v>4.8712547644669257E-4</v>
      </c>
    </row>
    <row r="587" spans="7:15" x14ac:dyDescent="0.25">
      <c r="G587" s="23">
        <v>41767</v>
      </c>
      <c r="H587" s="22">
        <v>409.70049999999998</v>
      </c>
      <c r="I587">
        <f t="shared" si="18"/>
        <v>3.9214738295334506E-4</v>
      </c>
      <c r="J587" s="23">
        <v>41767</v>
      </c>
      <c r="K587" s="22">
        <v>600.78250000000003</v>
      </c>
      <c r="L587">
        <f t="shared" si="18"/>
        <v>2.3674735111844925E-4</v>
      </c>
      <c r="M587" s="23">
        <v>41731</v>
      </c>
      <c r="N587" s="22">
        <v>695.63919999999996</v>
      </c>
      <c r="O587">
        <f t="shared" si="19"/>
        <v>-4.1688103696868595E-6</v>
      </c>
    </row>
    <row r="588" spans="7:15" x14ac:dyDescent="0.25">
      <c r="G588" s="23">
        <v>41768</v>
      </c>
      <c r="H588" s="22">
        <v>409.79199999999997</v>
      </c>
      <c r="I588">
        <f t="shared" si="18"/>
        <v>2.2333387437889485E-4</v>
      </c>
      <c r="J588" s="23">
        <v>41768</v>
      </c>
      <c r="K588" s="22">
        <v>600.78300000000002</v>
      </c>
      <c r="L588">
        <f t="shared" si="18"/>
        <v>8.3224794322767082E-7</v>
      </c>
      <c r="M588" s="23">
        <v>41732</v>
      </c>
      <c r="N588" s="22">
        <v>695.55079999999998</v>
      </c>
      <c r="O588">
        <f t="shared" si="19"/>
        <v>-1.2707736999295616E-4</v>
      </c>
    </row>
    <row r="589" spans="7:15" x14ac:dyDescent="0.25">
      <c r="G589" s="23">
        <v>41771</v>
      </c>
      <c r="H589" s="22">
        <v>409.70190000000002</v>
      </c>
      <c r="I589">
        <f t="shared" si="18"/>
        <v>-2.1986764016856952E-4</v>
      </c>
      <c r="J589" s="23">
        <v>41771</v>
      </c>
      <c r="K589" s="22">
        <v>600.87009999999998</v>
      </c>
      <c r="L589">
        <f t="shared" si="18"/>
        <v>1.4497747106689829E-4</v>
      </c>
      <c r="M589" s="23">
        <v>41733</v>
      </c>
      <c r="N589" s="22">
        <v>695.55100000000004</v>
      </c>
      <c r="O589">
        <f t="shared" si="19"/>
        <v>2.8754190206647934E-7</v>
      </c>
    </row>
    <row r="590" spans="7:15" x14ac:dyDescent="0.25">
      <c r="G590" s="23">
        <v>41772</v>
      </c>
      <c r="H590" s="22">
        <v>410.13709999999998</v>
      </c>
      <c r="I590">
        <f t="shared" si="18"/>
        <v>1.0622357377398917E-3</v>
      </c>
      <c r="J590" s="23">
        <v>41772</v>
      </c>
      <c r="K590" s="22">
        <v>600.74149999999997</v>
      </c>
      <c r="L590">
        <f t="shared" si="18"/>
        <v>-2.1402296436456858E-4</v>
      </c>
      <c r="M590" s="23">
        <v>41736</v>
      </c>
      <c r="N590" s="22">
        <v>695.61400000000003</v>
      </c>
      <c r="O590">
        <f t="shared" si="19"/>
        <v>9.0575673099335674E-5</v>
      </c>
    </row>
    <row r="591" spans="7:15" x14ac:dyDescent="0.25">
      <c r="G591" s="23">
        <v>41773</v>
      </c>
      <c r="H591" s="22">
        <v>410.09469999999999</v>
      </c>
      <c r="I591">
        <f t="shared" si="18"/>
        <v>-1.0338006486121376E-4</v>
      </c>
      <c r="J591" s="23">
        <v>41773</v>
      </c>
      <c r="K591" s="22">
        <v>600.74630000000002</v>
      </c>
      <c r="L591">
        <f t="shared" si="18"/>
        <v>7.9901255365388835E-6</v>
      </c>
      <c r="M591" s="23">
        <v>41737</v>
      </c>
      <c r="N591" s="22">
        <v>695.61839999999995</v>
      </c>
      <c r="O591">
        <f t="shared" si="19"/>
        <v>6.325347103208756E-6</v>
      </c>
    </row>
    <row r="592" spans="7:15" x14ac:dyDescent="0.25">
      <c r="G592" s="23">
        <v>41774</v>
      </c>
      <c r="H592" s="22">
        <v>410.23790000000002</v>
      </c>
      <c r="I592">
        <f t="shared" si="18"/>
        <v>3.4918763885527504E-4</v>
      </c>
      <c r="J592" s="23">
        <v>41774</v>
      </c>
      <c r="K592" s="22">
        <v>600.83280000000002</v>
      </c>
      <c r="L592">
        <f t="shared" si="18"/>
        <v>1.4398757012745733E-4</v>
      </c>
      <c r="M592" s="23">
        <v>41738</v>
      </c>
      <c r="N592" s="22">
        <v>695.62459999999999</v>
      </c>
      <c r="O592">
        <f t="shared" si="19"/>
        <v>8.9129327229819921E-6</v>
      </c>
    </row>
    <row r="593" spans="7:15" x14ac:dyDescent="0.25">
      <c r="G593" s="23">
        <v>41775</v>
      </c>
      <c r="H593" s="22">
        <v>410.29750000000001</v>
      </c>
      <c r="I593">
        <f t="shared" si="18"/>
        <v>1.4528155492210537E-4</v>
      </c>
      <c r="J593" s="23">
        <v>41775</v>
      </c>
      <c r="K593" s="22">
        <v>600.85500000000002</v>
      </c>
      <c r="L593">
        <f t="shared" si="18"/>
        <v>3.6948715183227065E-5</v>
      </c>
      <c r="M593" s="23">
        <v>41739</v>
      </c>
      <c r="N593" s="22">
        <v>695.68050000000005</v>
      </c>
      <c r="O593">
        <f t="shared" si="19"/>
        <v>8.0359435247201461E-5</v>
      </c>
    </row>
    <row r="594" spans="7:15" x14ac:dyDescent="0.25">
      <c r="G594" s="23">
        <v>41778</v>
      </c>
      <c r="H594" s="22">
        <v>410.30149999999998</v>
      </c>
      <c r="I594">
        <f t="shared" si="18"/>
        <v>9.7490235742014875E-6</v>
      </c>
      <c r="J594" s="23">
        <v>41778</v>
      </c>
      <c r="K594" s="22">
        <v>600.86149999999998</v>
      </c>
      <c r="L594">
        <f t="shared" si="18"/>
        <v>1.0817917800443055E-5</v>
      </c>
      <c r="M594" s="23">
        <v>41740</v>
      </c>
      <c r="N594" s="22">
        <v>696.09780000000001</v>
      </c>
      <c r="O594">
        <f t="shared" si="19"/>
        <v>5.9984432508874974E-4</v>
      </c>
    </row>
    <row r="595" spans="7:15" x14ac:dyDescent="0.25">
      <c r="G595" s="23">
        <v>41779</v>
      </c>
      <c r="H595" s="22">
        <v>410.44110000000001</v>
      </c>
      <c r="I595">
        <f t="shared" si="18"/>
        <v>3.4023760576062934E-4</v>
      </c>
      <c r="J595" s="23">
        <v>41779</v>
      </c>
      <c r="K595" s="22">
        <v>600.86329999999998</v>
      </c>
      <c r="L595">
        <f t="shared" si="18"/>
        <v>2.9956986760115711E-6</v>
      </c>
      <c r="M595" s="23">
        <v>41743</v>
      </c>
      <c r="N595" s="22">
        <v>696.10159999999996</v>
      </c>
      <c r="O595">
        <f t="shared" si="19"/>
        <v>5.4590030307277715E-6</v>
      </c>
    </row>
    <row r="596" spans="7:15" x14ac:dyDescent="0.25">
      <c r="G596" s="23">
        <v>41780</v>
      </c>
      <c r="H596" s="22">
        <v>410.49889999999999</v>
      </c>
      <c r="I596">
        <f t="shared" si="18"/>
        <v>1.4082410362892261E-4</v>
      </c>
      <c r="J596" s="23">
        <v>41780</v>
      </c>
      <c r="K596" s="22">
        <v>600.58960000000002</v>
      </c>
      <c r="L596">
        <f t="shared" si="18"/>
        <v>-4.5551126187926005E-4</v>
      </c>
      <c r="M596" s="23">
        <v>41744</v>
      </c>
      <c r="N596" s="22">
        <v>696.09839999999997</v>
      </c>
      <c r="O596">
        <f t="shared" si="19"/>
        <v>-4.5970300887043791E-6</v>
      </c>
    </row>
    <row r="597" spans="7:15" x14ac:dyDescent="0.25">
      <c r="G597" s="23">
        <v>41781</v>
      </c>
      <c r="H597" s="22">
        <v>410.64640000000003</v>
      </c>
      <c r="I597">
        <f t="shared" si="18"/>
        <v>3.5931886784612566E-4</v>
      </c>
      <c r="J597" s="23">
        <v>41781</v>
      </c>
      <c r="K597" s="22">
        <v>600.73230000000001</v>
      </c>
      <c r="L597">
        <f t="shared" si="18"/>
        <v>2.37599851878878E-4</v>
      </c>
      <c r="M597" s="23">
        <v>41745</v>
      </c>
      <c r="N597" s="22">
        <v>696.10770000000002</v>
      </c>
      <c r="O597">
        <f t="shared" si="19"/>
        <v>1.3360180112442777E-5</v>
      </c>
    </row>
    <row r="598" spans="7:15" x14ac:dyDescent="0.25">
      <c r="G598" s="23">
        <v>41782</v>
      </c>
      <c r="H598" s="22">
        <v>410.64830000000001</v>
      </c>
      <c r="I598">
        <f t="shared" si="18"/>
        <v>4.6268517146508259E-6</v>
      </c>
      <c r="J598" s="23">
        <v>41782</v>
      </c>
      <c r="K598" s="22">
        <v>600.73400000000004</v>
      </c>
      <c r="L598">
        <f t="shared" si="18"/>
        <v>2.8298794654268988E-6</v>
      </c>
      <c r="M598" s="23">
        <v>41746</v>
      </c>
      <c r="N598" s="22">
        <v>696.10829999999999</v>
      </c>
      <c r="O598">
        <f t="shared" si="19"/>
        <v>8.6193558845870655E-7</v>
      </c>
    </row>
    <row r="599" spans="7:15" x14ac:dyDescent="0.25">
      <c r="G599" s="23">
        <v>41786</v>
      </c>
      <c r="H599" s="22">
        <v>410.63490000000002</v>
      </c>
      <c r="I599">
        <f t="shared" si="18"/>
        <v>-3.2631329534238418E-5</v>
      </c>
      <c r="J599" s="23">
        <v>41786</v>
      </c>
      <c r="K599" s="22">
        <v>600.78549999999996</v>
      </c>
      <c r="L599">
        <f t="shared" si="18"/>
        <v>8.5728458851797029E-5</v>
      </c>
      <c r="M599" s="23">
        <v>41747</v>
      </c>
      <c r="N599" s="22">
        <v>696.10829999999999</v>
      </c>
      <c r="O599">
        <f t="shared" si="19"/>
        <v>0</v>
      </c>
    </row>
    <row r="600" spans="7:15" x14ac:dyDescent="0.25">
      <c r="G600" s="23">
        <v>41787</v>
      </c>
      <c r="H600" s="22">
        <v>410.5804</v>
      </c>
      <c r="I600">
        <f t="shared" si="18"/>
        <v>-1.3272130547115069E-4</v>
      </c>
      <c r="J600" s="23">
        <v>41787</v>
      </c>
      <c r="K600" s="22">
        <v>600.78740000000005</v>
      </c>
      <c r="L600">
        <f t="shared" si="18"/>
        <v>3.1625263927637093E-6</v>
      </c>
      <c r="M600" s="23">
        <v>41750</v>
      </c>
      <c r="N600" s="22">
        <v>695.84630000000004</v>
      </c>
      <c r="O600">
        <f t="shared" si="19"/>
        <v>-3.7637821586089526E-4</v>
      </c>
    </row>
    <row r="601" spans="7:15" x14ac:dyDescent="0.25">
      <c r="G601" s="23">
        <v>41788</v>
      </c>
      <c r="H601" s="22">
        <v>410.8236</v>
      </c>
      <c r="I601">
        <f t="shared" si="18"/>
        <v>5.9233222043730827E-4</v>
      </c>
      <c r="J601" s="23">
        <v>41788</v>
      </c>
      <c r="K601" s="22">
        <v>601.1259</v>
      </c>
      <c r="L601">
        <f t="shared" si="18"/>
        <v>5.6342726228941764E-4</v>
      </c>
      <c r="M601" s="23">
        <v>41751</v>
      </c>
      <c r="N601" s="22">
        <v>695.83069999999998</v>
      </c>
      <c r="O601">
        <f t="shared" si="19"/>
        <v>-2.2418743909513594E-5</v>
      </c>
    </row>
    <row r="602" spans="7:15" x14ac:dyDescent="0.25">
      <c r="G602" s="23">
        <v>41789</v>
      </c>
      <c r="H602" s="22">
        <v>421.79520000000002</v>
      </c>
      <c r="I602">
        <f t="shared" si="18"/>
        <v>2.6706352799595878E-2</v>
      </c>
      <c r="J602" s="23">
        <v>41789</v>
      </c>
      <c r="K602" s="22">
        <v>605.03660000000002</v>
      </c>
      <c r="L602">
        <f t="shared" si="18"/>
        <v>6.505625527031933E-3</v>
      </c>
      <c r="M602" s="23">
        <v>41752</v>
      </c>
      <c r="N602" s="22">
        <v>695.84169999999995</v>
      </c>
      <c r="O602">
        <f t="shared" si="19"/>
        <v>1.5808443059484034E-5</v>
      </c>
    </row>
    <row r="603" spans="7:15" x14ac:dyDescent="0.25">
      <c r="G603" s="23">
        <v>41792</v>
      </c>
      <c r="H603" s="22">
        <v>421.73480000000001</v>
      </c>
      <c r="I603">
        <f t="shared" si="18"/>
        <v>-1.4319745696489417E-4</v>
      </c>
      <c r="J603" s="23">
        <v>41792</v>
      </c>
      <c r="K603" s="22">
        <v>604.96529999999996</v>
      </c>
      <c r="L603">
        <f t="shared" si="18"/>
        <v>-1.1784411058779476E-4</v>
      </c>
      <c r="M603" s="23">
        <v>41753</v>
      </c>
      <c r="N603" s="22">
        <v>695.84799999999996</v>
      </c>
      <c r="O603">
        <f t="shared" si="19"/>
        <v>9.0537833532522427E-6</v>
      </c>
    </row>
    <row r="604" spans="7:15" x14ac:dyDescent="0.25">
      <c r="G604" s="23">
        <v>41793</v>
      </c>
      <c r="H604" s="22">
        <v>421.50389999999999</v>
      </c>
      <c r="I604">
        <f t="shared" si="18"/>
        <v>-5.4750046711826705E-4</v>
      </c>
      <c r="J604" s="23">
        <v>41793</v>
      </c>
      <c r="K604" s="22">
        <v>605.16890000000001</v>
      </c>
      <c r="L604">
        <f t="shared" si="18"/>
        <v>3.36548228468736E-4</v>
      </c>
      <c r="M604" s="23">
        <v>41754</v>
      </c>
      <c r="N604" s="22">
        <v>696.08420000000001</v>
      </c>
      <c r="O604">
        <f t="shared" si="19"/>
        <v>3.3944194709190079E-4</v>
      </c>
    </row>
    <row r="605" spans="7:15" x14ac:dyDescent="0.25">
      <c r="G605" s="23">
        <v>41794</v>
      </c>
      <c r="H605" s="22">
        <v>421.68869999999998</v>
      </c>
      <c r="I605">
        <f t="shared" si="18"/>
        <v>4.3843010705235663E-4</v>
      </c>
      <c r="J605" s="23">
        <v>41794</v>
      </c>
      <c r="K605" s="22">
        <v>605.41959999999995</v>
      </c>
      <c r="L605">
        <f t="shared" si="18"/>
        <v>4.1426451359272143E-4</v>
      </c>
      <c r="M605" s="23">
        <v>41757</v>
      </c>
      <c r="N605" s="22">
        <v>696.0942</v>
      </c>
      <c r="O605">
        <f t="shared" si="19"/>
        <v>1.4366078126659687E-5</v>
      </c>
    </row>
    <row r="606" spans="7:15" x14ac:dyDescent="0.25">
      <c r="G606" s="23">
        <v>41795</v>
      </c>
      <c r="H606" s="22">
        <v>421.4033</v>
      </c>
      <c r="I606">
        <f t="shared" si="18"/>
        <v>-6.7680257972291269E-4</v>
      </c>
      <c r="J606" s="23">
        <v>41795</v>
      </c>
      <c r="K606" s="22">
        <v>605.63869999999997</v>
      </c>
      <c r="L606">
        <f t="shared" si="18"/>
        <v>3.6189776478989799E-4</v>
      </c>
      <c r="M606" s="23">
        <v>41758</v>
      </c>
      <c r="N606" s="22">
        <v>695.94090000000006</v>
      </c>
      <c r="O606">
        <f t="shared" si="19"/>
        <v>-2.2022881385874715E-4</v>
      </c>
    </row>
    <row r="607" spans="7:15" x14ac:dyDescent="0.25">
      <c r="G607" s="23">
        <v>41796</v>
      </c>
      <c r="H607" s="22">
        <v>421.22230000000002</v>
      </c>
      <c r="I607">
        <f t="shared" si="18"/>
        <v>-4.2951728190065985E-4</v>
      </c>
      <c r="J607" s="23">
        <v>41796</v>
      </c>
      <c r="K607" s="22">
        <v>607.21510000000001</v>
      </c>
      <c r="L607">
        <f t="shared" si="18"/>
        <v>2.6028719763120378E-3</v>
      </c>
      <c r="M607" s="23">
        <v>41759</v>
      </c>
      <c r="N607" s="22">
        <v>698.24680000000001</v>
      </c>
      <c r="O607">
        <f t="shared" si="19"/>
        <v>3.3133560622746749E-3</v>
      </c>
    </row>
    <row r="608" spans="7:15" x14ac:dyDescent="0.25">
      <c r="G608" s="23">
        <v>41799</v>
      </c>
      <c r="H608" s="22">
        <v>421.22269999999997</v>
      </c>
      <c r="I608">
        <f t="shared" si="18"/>
        <v>9.4961733965170936E-7</v>
      </c>
      <c r="J608" s="23">
        <v>41799</v>
      </c>
      <c r="K608" s="22">
        <v>607.21889999999996</v>
      </c>
      <c r="L608">
        <f t="shared" si="18"/>
        <v>6.2580788915411745E-6</v>
      </c>
      <c r="M608" s="23">
        <v>41760</v>
      </c>
      <c r="N608" s="22">
        <v>698.78330000000005</v>
      </c>
      <c r="O608">
        <f t="shared" si="19"/>
        <v>7.683529663151667E-4</v>
      </c>
    </row>
    <row r="609" spans="7:15" x14ac:dyDescent="0.25">
      <c r="G609" s="23">
        <v>41800</v>
      </c>
      <c r="H609" s="22">
        <v>421.1789</v>
      </c>
      <c r="I609">
        <f t="shared" si="18"/>
        <v>-1.0398299996650096E-4</v>
      </c>
      <c r="J609" s="23">
        <v>41800</v>
      </c>
      <c r="K609" s="22">
        <v>607.23429999999996</v>
      </c>
      <c r="L609">
        <f t="shared" si="18"/>
        <v>2.5361529425449447E-5</v>
      </c>
      <c r="M609" s="23">
        <v>41761</v>
      </c>
      <c r="N609" s="22">
        <v>698.60919999999999</v>
      </c>
      <c r="O609">
        <f t="shared" si="19"/>
        <v>-2.4914733938274924E-4</v>
      </c>
    </row>
    <row r="610" spans="7:15" x14ac:dyDescent="0.25">
      <c r="G610" s="23">
        <v>41801</v>
      </c>
      <c r="H610" s="22">
        <v>421.18020000000001</v>
      </c>
      <c r="I610">
        <f t="shared" si="18"/>
        <v>3.0865743749775021E-6</v>
      </c>
      <c r="J610" s="23">
        <v>41801</v>
      </c>
      <c r="K610" s="22">
        <v>607.23469999999998</v>
      </c>
      <c r="L610">
        <f t="shared" si="18"/>
        <v>6.5872431775915175E-7</v>
      </c>
      <c r="M610" s="23">
        <v>41764</v>
      </c>
      <c r="N610" s="22">
        <v>698.58259999999996</v>
      </c>
      <c r="O610">
        <f t="shared" si="19"/>
        <v>-3.8075650878988121E-5</v>
      </c>
    </row>
    <row r="611" spans="7:15" x14ac:dyDescent="0.25">
      <c r="G611" s="23">
        <v>41802</v>
      </c>
      <c r="H611" s="22">
        <v>421.13200000000001</v>
      </c>
      <c r="I611">
        <f t="shared" si="18"/>
        <v>-1.1444032744178934E-4</v>
      </c>
      <c r="J611" s="23">
        <v>41802</v>
      </c>
      <c r="K611" s="22">
        <v>607.28989999999999</v>
      </c>
      <c r="L611">
        <f t="shared" si="18"/>
        <v>9.0903895973104554E-5</v>
      </c>
      <c r="M611" s="23">
        <v>41765</v>
      </c>
      <c r="N611" s="22">
        <v>698.5865</v>
      </c>
      <c r="O611">
        <f t="shared" si="19"/>
        <v>5.5827328078184024E-6</v>
      </c>
    </row>
    <row r="612" spans="7:15" x14ac:dyDescent="0.25">
      <c r="G612" s="23">
        <v>41803</v>
      </c>
      <c r="H612" s="22">
        <v>421.13150000000002</v>
      </c>
      <c r="I612">
        <f t="shared" si="18"/>
        <v>-1.1872761983555691E-6</v>
      </c>
      <c r="J612" s="23">
        <v>41803</v>
      </c>
      <c r="K612" s="22">
        <v>607.28989999999999</v>
      </c>
      <c r="L612">
        <f t="shared" si="18"/>
        <v>0</v>
      </c>
      <c r="M612" s="23">
        <v>41766</v>
      </c>
      <c r="N612" s="22">
        <v>698.58389999999997</v>
      </c>
      <c r="O612">
        <f t="shared" si="19"/>
        <v>-3.7218010940920365E-6</v>
      </c>
    </row>
    <row r="613" spans="7:15" x14ac:dyDescent="0.25">
      <c r="G613" s="23">
        <v>41806</v>
      </c>
      <c r="H613" s="22">
        <v>422.06740000000002</v>
      </c>
      <c r="I613">
        <f t="shared" si="18"/>
        <v>2.2223462267723093E-3</v>
      </c>
      <c r="J613" s="23">
        <v>41806</v>
      </c>
      <c r="K613" s="22">
        <v>623.69280000000003</v>
      </c>
      <c r="L613">
        <f t="shared" si="18"/>
        <v>2.7009999672314766E-2</v>
      </c>
      <c r="M613" s="23">
        <v>41767</v>
      </c>
      <c r="N613" s="22">
        <v>698.57989999999995</v>
      </c>
      <c r="O613">
        <f t="shared" si="19"/>
        <v>-5.7258691475992052E-6</v>
      </c>
    </row>
    <row r="614" spans="7:15" x14ac:dyDescent="0.25">
      <c r="G614" s="23">
        <v>41807</v>
      </c>
      <c r="H614" s="22">
        <v>422.05739999999997</v>
      </c>
      <c r="I614">
        <f t="shared" si="18"/>
        <v>-2.3692898338145696E-5</v>
      </c>
      <c r="J614" s="23">
        <v>41807</v>
      </c>
      <c r="K614" s="22">
        <v>623.30640000000005</v>
      </c>
      <c r="L614">
        <f t="shared" si="18"/>
        <v>-6.1953577145668071E-4</v>
      </c>
      <c r="M614" s="23">
        <v>41768</v>
      </c>
      <c r="N614" s="22">
        <v>698.57770000000005</v>
      </c>
      <c r="O614">
        <f t="shared" si="19"/>
        <v>-3.1492460631499242E-6</v>
      </c>
    </row>
    <row r="615" spans="7:15" x14ac:dyDescent="0.25">
      <c r="G615" s="23">
        <v>41808</v>
      </c>
      <c r="H615" s="22">
        <v>421.97239999999999</v>
      </c>
      <c r="I615">
        <f t="shared" si="18"/>
        <v>-2.0139440749045168E-4</v>
      </c>
      <c r="J615" s="23">
        <v>41808</v>
      </c>
      <c r="K615" s="22">
        <v>623.1386</v>
      </c>
      <c r="L615">
        <f t="shared" si="18"/>
        <v>-2.692094931161515E-4</v>
      </c>
      <c r="M615" s="23">
        <v>41771</v>
      </c>
      <c r="N615" s="22">
        <v>698.57399999999996</v>
      </c>
      <c r="O615">
        <f t="shared" si="19"/>
        <v>-5.2964759683638007E-6</v>
      </c>
    </row>
    <row r="616" spans="7:15" x14ac:dyDescent="0.25">
      <c r="G616" s="23">
        <v>41809</v>
      </c>
      <c r="H616" s="22">
        <v>421.86349999999999</v>
      </c>
      <c r="I616">
        <f t="shared" si="18"/>
        <v>-2.5807375079511807E-4</v>
      </c>
      <c r="J616" s="23">
        <v>41809</v>
      </c>
      <c r="K616" s="22">
        <v>622.50319999999999</v>
      </c>
      <c r="L616">
        <f t="shared" si="18"/>
        <v>-1.0196768423590408E-3</v>
      </c>
      <c r="M616" s="23">
        <v>41772</v>
      </c>
      <c r="N616" s="22">
        <v>698.57209999999998</v>
      </c>
      <c r="O616">
        <f t="shared" si="19"/>
        <v>-2.7198263891081709E-6</v>
      </c>
    </row>
    <row r="617" spans="7:15" x14ac:dyDescent="0.25">
      <c r="G617" s="23">
        <v>41810</v>
      </c>
      <c r="H617" s="22">
        <v>422.11970000000002</v>
      </c>
      <c r="I617">
        <f t="shared" si="18"/>
        <v>6.073054435855596E-4</v>
      </c>
      <c r="J617" s="23">
        <v>41810</v>
      </c>
      <c r="K617" s="22">
        <v>622.34670000000006</v>
      </c>
      <c r="L617">
        <f t="shared" si="18"/>
        <v>-2.5140433013026708E-4</v>
      </c>
      <c r="M617" s="23">
        <v>41773</v>
      </c>
      <c r="N617" s="22">
        <v>698.58529999999996</v>
      </c>
      <c r="O617">
        <f t="shared" si="19"/>
        <v>1.8895687359909985E-5</v>
      </c>
    </row>
    <row r="618" spans="7:15" x14ac:dyDescent="0.25">
      <c r="G618" s="23">
        <v>41813</v>
      </c>
      <c r="H618" s="22">
        <v>422.1182</v>
      </c>
      <c r="I618">
        <f t="shared" si="18"/>
        <v>-3.5534944236026433E-6</v>
      </c>
      <c r="J618" s="23">
        <v>41813</v>
      </c>
      <c r="K618" s="22">
        <v>622.34400000000005</v>
      </c>
      <c r="L618">
        <f t="shared" si="18"/>
        <v>-4.3384177983440964E-6</v>
      </c>
      <c r="M618" s="23">
        <v>41774</v>
      </c>
      <c r="N618" s="22">
        <v>698.55809999999997</v>
      </c>
      <c r="O618">
        <f t="shared" si="19"/>
        <v>-3.8935832173958573E-5</v>
      </c>
    </row>
    <row r="619" spans="7:15" x14ac:dyDescent="0.25">
      <c r="G619" s="23">
        <v>41814</v>
      </c>
      <c r="H619" s="22">
        <v>421.97710000000001</v>
      </c>
      <c r="I619">
        <f t="shared" si="18"/>
        <v>-3.3426656325175053E-4</v>
      </c>
      <c r="J619" s="23">
        <v>41814</v>
      </c>
      <c r="K619" s="22">
        <v>622.17129999999997</v>
      </c>
      <c r="L619">
        <f t="shared" si="18"/>
        <v>-2.7749926085907095E-4</v>
      </c>
      <c r="M619" s="23">
        <v>41775</v>
      </c>
      <c r="N619" s="22">
        <v>698.56050000000005</v>
      </c>
      <c r="O619">
        <f t="shared" si="19"/>
        <v>3.4356483735731302E-6</v>
      </c>
    </row>
    <row r="620" spans="7:15" x14ac:dyDescent="0.25">
      <c r="G620" s="23">
        <v>41815</v>
      </c>
      <c r="H620" s="22">
        <v>421.98259999999999</v>
      </c>
      <c r="I620">
        <f t="shared" si="18"/>
        <v>1.3033882644286621E-5</v>
      </c>
      <c r="J620" s="23">
        <v>41815</v>
      </c>
      <c r="K620" s="22">
        <v>622.36249999999995</v>
      </c>
      <c r="L620">
        <f t="shared" si="18"/>
        <v>3.0731086438740007E-4</v>
      </c>
      <c r="M620" s="23">
        <v>41778</v>
      </c>
      <c r="N620" s="22">
        <v>698.55719999999997</v>
      </c>
      <c r="O620">
        <f t="shared" si="19"/>
        <v>-4.7240002835069461E-6</v>
      </c>
    </row>
    <row r="621" spans="7:15" x14ac:dyDescent="0.25">
      <c r="G621" s="23">
        <v>41816</v>
      </c>
      <c r="H621" s="22">
        <v>423.62040000000002</v>
      </c>
      <c r="I621">
        <f t="shared" si="18"/>
        <v>3.881202684660412E-3</v>
      </c>
      <c r="J621" s="23">
        <v>41816</v>
      </c>
      <c r="K621" s="22">
        <v>627.56150000000002</v>
      </c>
      <c r="L621">
        <f t="shared" si="18"/>
        <v>8.3536524131837542E-3</v>
      </c>
      <c r="M621" s="23">
        <v>41779</v>
      </c>
      <c r="N621" s="22">
        <v>698.54880000000003</v>
      </c>
      <c r="O621">
        <f t="shared" si="19"/>
        <v>-1.2024784799224975E-5</v>
      </c>
    </row>
    <row r="622" spans="7:15" x14ac:dyDescent="0.25">
      <c r="G622" s="23">
        <v>41817</v>
      </c>
      <c r="H622" s="22">
        <v>423.58170000000001</v>
      </c>
      <c r="I622">
        <f t="shared" si="18"/>
        <v>-9.135537382054526E-5</v>
      </c>
      <c r="J622" s="23">
        <v>41817</v>
      </c>
      <c r="K622" s="22">
        <v>627.45910000000003</v>
      </c>
      <c r="L622">
        <f t="shared" si="18"/>
        <v>-1.6317125891240902E-4</v>
      </c>
      <c r="M622" s="23">
        <v>41780</v>
      </c>
      <c r="N622" s="22">
        <v>698.57749999999999</v>
      </c>
      <c r="O622">
        <f t="shared" si="19"/>
        <v>4.1085175437993726E-5</v>
      </c>
    </row>
    <row r="623" spans="7:15" x14ac:dyDescent="0.25">
      <c r="G623" s="23">
        <v>41820</v>
      </c>
      <c r="H623" s="22">
        <v>423.26139999999998</v>
      </c>
      <c r="I623">
        <f t="shared" si="18"/>
        <v>-7.5617053333520978E-4</v>
      </c>
      <c r="J623" s="23">
        <v>41820</v>
      </c>
      <c r="K623" s="22">
        <v>626.94920000000002</v>
      </c>
      <c r="L623">
        <f t="shared" si="18"/>
        <v>-8.126426088967964E-4</v>
      </c>
      <c r="M623" s="23">
        <v>41781</v>
      </c>
      <c r="N623" s="22">
        <v>698.57870000000003</v>
      </c>
      <c r="O623">
        <f t="shared" si="19"/>
        <v>1.7177764815023977E-6</v>
      </c>
    </row>
    <row r="624" spans="7:15" x14ac:dyDescent="0.25">
      <c r="G624" s="23">
        <v>41821</v>
      </c>
      <c r="H624" s="22">
        <v>423.23149999999998</v>
      </c>
      <c r="I624">
        <f t="shared" si="18"/>
        <v>-7.0641924824754732E-5</v>
      </c>
      <c r="J624" s="23">
        <v>41821</v>
      </c>
      <c r="K624" s="22">
        <v>626.78060000000005</v>
      </c>
      <c r="L624">
        <f t="shared" si="18"/>
        <v>-2.6892130973288353E-4</v>
      </c>
      <c r="M624" s="23">
        <v>41782</v>
      </c>
      <c r="N624" s="22">
        <v>698.58339999999998</v>
      </c>
      <c r="O624">
        <f t="shared" si="19"/>
        <v>6.7279463287217567E-6</v>
      </c>
    </row>
    <row r="625" spans="7:15" x14ac:dyDescent="0.25">
      <c r="G625" s="23">
        <v>41822</v>
      </c>
      <c r="H625" s="22">
        <v>423.08670000000001</v>
      </c>
      <c r="I625">
        <f t="shared" si="18"/>
        <v>-3.4212954376022786E-4</v>
      </c>
      <c r="J625" s="23">
        <v>41822</v>
      </c>
      <c r="K625" s="22">
        <v>626.69140000000004</v>
      </c>
      <c r="L625">
        <f t="shared" si="18"/>
        <v>-1.4231455153523864E-4</v>
      </c>
      <c r="M625" s="23">
        <v>41785</v>
      </c>
      <c r="N625" s="22">
        <v>698.58339999999998</v>
      </c>
      <c r="O625">
        <f t="shared" si="19"/>
        <v>0</v>
      </c>
    </row>
    <row r="626" spans="7:15" x14ac:dyDescent="0.25">
      <c r="G626" s="23">
        <v>41823</v>
      </c>
      <c r="H626" s="22">
        <v>423.15249999999997</v>
      </c>
      <c r="I626">
        <f t="shared" si="18"/>
        <v>1.5552367871629613E-4</v>
      </c>
      <c r="J626" s="23">
        <v>41823</v>
      </c>
      <c r="K626" s="22">
        <v>625.57820000000004</v>
      </c>
      <c r="L626">
        <f t="shared" si="18"/>
        <v>-1.7763128710558407E-3</v>
      </c>
      <c r="M626" s="23">
        <v>41786</v>
      </c>
      <c r="N626" s="22">
        <v>719.73540000000003</v>
      </c>
      <c r="O626">
        <f t="shared" si="19"/>
        <v>3.0278417723639039E-2</v>
      </c>
    </row>
    <row r="627" spans="7:15" x14ac:dyDescent="0.25">
      <c r="G627" s="23">
        <v>41827</v>
      </c>
      <c r="H627" s="22">
        <v>422.9615</v>
      </c>
      <c r="I627">
        <f t="shared" si="18"/>
        <v>-4.5137391365990265E-4</v>
      </c>
      <c r="J627" s="23">
        <v>41827</v>
      </c>
      <c r="K627" s="22">
        <v>625.58069999999998</v>
      </c>
      <c r="L627">
        <f t="shared" si="18"/>
        <v>3.9963029401235417E-6</v>
      </c>
      <c r="M627" s="23">
        <v>41787</v>
      </c>
      <c r="N627" s="22">
        <v>720.15390000000002</v>
      </c>
      <c r="O627">
        <f t="shared" si="19"/>
        <v>5.8146368790534808E-4</v>
      </c>
    </row>
    <row r="628" spans="7:15" x14ac:dyDescent="0.25">
      <c r="G628" s="23">
        <v>41828</v>
      </c>
      <c r="H628" s="22">
        <v>422.96570000000003</v>
      </c>
      <c r="I628">
        <f t="shared" si="18"/>
        <v>9.9299818068221413E-6</v>
      </c>
      <c r="J628" s="23">
        <v>41828</v>
      </c>
      <c r="K628" s="22">
        <v>625.58579999999995</v>
      </c>
      <c r="L628">
        <f t="shared" si="18"/>
        <v>8.1524254185172396E-6</v>
      </c>
      <c r="M628" s="23">
        <v>41788</v>
      </c>
      <c r="N628" s="22">
        <v>720.01340000000005</v>
      </c>
      <c r="O628">
        <f t="shared" si="19"/>
        <v>-1.9509718686516742E-4</v>
      </c>
    </row>
    <row r="629" spans="7:15" x14ac:dyDescent="0.25">
      <c r="G629" s="23">
        <v>41829</v>
      </c>
      <c r="H629" s="22">
        <v>423.04840000000002</v>
      </c>
      <c r="I629">
        <f t="shared" si="18"/>
        <v>1.9552412878875991E-4</v>
      </c>
      <c r="J629" s="23">
        <v>41829</v>
      </c>
      <c r="K629" s="22">
        <v>625.85440000000006</v>
      </c>
      <c r="L629">
        <f t="shared" si="18"/>
        <v>4.2935757173534483E-4</v>
      </c>
      <c r="M629" s="23">
        <v>41789</v>
      </c>
      <c r="N629" s="22">
        <v>720.36479999999995</v>
      </c>
      <c r="O629">
        <f t="shared" si="19"/>
        <v>4.8804647246836197E-4</v>
      </c>
    </row>
    <row r="630" spans="7:15" x14ac:dyDescent="0.25">
      <c r="G630" s="23">
        <v>41830</v>
      </c>
      <c r="H630" s="22">
        <v>422.40679999999998</v>
      </c>
      <c r="I630">
        <f t="shared" si="18"/>
        <v>-1.5166113380881141E-3</v>
      </c>
      <c r="J630" s="23">
        <v>41830</v>
      </c>
      <c r="K630" s="22">
        <v>625.21439999999996</v>
      </c>
      <c r="L630">
        <f t="shared" si="18"/>
        <v>-1.0226020620772713E-3</v>
      </c>
      <c r="M630" s="23">
        <v>41792</v>
      </c>
      <c r="N630" s="22">
        <v>720.31979999999999</v>
      </c>
      <c r="O630">
        <f t="shared" si="19"/>
        <v>-6.246834936962653E-5</v>
      </c>
    </row>
    <row r="631" spans="7:15" x14ac:dyDescent="0.25">
      <c r="G631" s="23">
        <v>41831</v>
      </c>
      <c r="H631" s="22">
        <v>422.4092</v>
      </c>
      <c r="I631">
        <f t="shared" si="18"/>
        <v>5.681726714668045E-6</v>
      </c>
      <c r="J631" s="23">
        <v>41831</v>
      </c>
      <c r="K631" s="22">
        <v>624.88530000000003</v>
      </c>
      <c r="L631">
        <f t="shared" si="18"/>
        <v>-5.26379430799917E-4</v>
      </c>
      <c r="M631" s="23">
        <v>41793</v>
      </c>
      <c r="N631" s="22">
        <v>719.91309999999999</v>
      </c>
      <c r="O631">
        <f t="shared" si="19"/>
        <v>-5.6461033002286332E-4</v>
      </c>
    </row>
    <row r="632" spans="7:15" x14ac:dyDescent="0.25">
      <c r="G632" s="23">
        <v>41834</v>
      </c>
      <c r="H632" s="22">
        <v>424.83199999999999</v>
      </c>
      <c r="I632">
        <f t="shared" si="18"/>
        <v>5.7356705299032029E-3</v>
      </c>
      <c r="J632" s="23">
        <v>41834</v>
      </c>
      <c r="K632" s="22">
        <v>625.99599999999998</v>
      </c>
      <c r="L632">
        <f t="shared" si="18"/>
        <v>1.7774461969259914E-3</v>
      </c>
      <c r="M632" s="23">
        <v>41794</v>
      </c>
      <c r="N632" s="22">
        <v>719.91359999999997</v>
      </c>
      <c r="O632">
        <f t="shared" si="19"/>
        <v>6.9452827022864483E-7</v>
      </c>
    </row>
    <row r="633" spans="7:15" x14ac:dyDescent="0.25">
      <c r="G633" s="23">
        <v>41835</v>
      </c>
      <c r="H633" s="22">
        <v>424.49689999999998</v>
      </c>
      <c r="I633">
        <f t="shared" si="18"/>
        <v>-7.8878238927393429E-4</v>
      </c>
      <c r="J633" s="23">
        <v>41835</v>
      </c>
      <c r="K633" s="22">
        <v>625.56769999999995</v>
      </c>
      <c r="L633">
        <f t="shared" si="18"/>
        <v>-6.8418967533345754E-4</v>
      </c>
      <c r="M633" s="23">
        <v>41795</v>
      </c>
      <c r="N633" s="22">
        <v>719.91420000000005</v>
      </c>
      <c r="O633">
        <f t="shared" si="19"/>
        <v>8.3343334544849768E-7</v>
      </c>
    </row>
    <row r="634" spans="7:15" x14ac:dyDescent="0.25">
      <c r="G634" s="23">
        <v>41836</v>
      </c>
      <c r="H634" s="22">
        <v>424.8587</v>
      </c>
      <c r="I634">
        <f t="shared" si="18"/>
        <v>8.5230304390915279E-4</v>
      </c>
      <c r="J634" s="23">
        <v>41836</v>
      </c>
      <c r="K634" s="22">
        <v>625.43060000000003</v>
      </c>
      <c r="L634">
        <f t="shared" si="18"/>
        <v>-2.1916093174234597E-4</v>
      </c>
      <c r="M634" s="23">
        <v>41796</v>
      </c>
      <c r="N634" s="22">
        <v>722.6001</v>
      </c>
      <c r="O634">
        <f t="shared" si="19"/>
        <v>3.7308612609667779E-3</v>
      </c>
    </row>
    <row r="635" spans="7:15" x14ac:dyDescent="0.25">
      <c r="G635" s="23">
        <v>41837</v>
      </c>
      <c r="H635" s="22">
        <v>424.90039999999999</v>
      </c>
      <c r="I635">
        <f t="shared" si="18"/>
        <v>9.8150279139952445E-5</v>
      </c>
      <c r="J635" s="23">
        <v>41837</v>
      </c>
      <c r="K635" s="22">
        <v>625.16669999999999</v>
      </c>
      <c r="L635">
        <f t="shared" si="18"/>
        <v>-4.2194929381456081E-4</v>
      </c>
      <c r="M635" s="23">
        <v>41799</v>
      </c>
      <c r="N635" s="22">
        <v>722.59929999999997</v>
      </c>
      <c r="O635">
        <f t="shared" si="19"/>
        <v>-1.1071130491258074E-6</v>
      </c>
    </row>
    <row r="636" spans="7:15" x14ac:dyDescent="0.25">
      <c r="G636" s="23">
        <v>41838</v>
      </c>
      <c r="H636" s="22">
        <v>424.89589999999998</v>
      </c>
      <c r="I636">
        <f t="shared" si="18"/>
        <v>-1.0590717259839622E-5</v>
      </c>
      <c r="J636" s="23">
        <v>41838</v>
      </c>
      <c r="K636" s="22">
        <v>625.16390000000001</v>
      </c>
      <c r="L636">
        <f t="shared" si="18"/>
        <v>-4.4788054129885069E-6</v>
      </c>
      <c r="M636" s="23">
        <v>41800</v>
      </c>
      <c r="N636" s="22">
        <v>722.60109999999997</v>
      </c>
      <c r="O636">
        <f t="shared" si="19"/>
        <v>2.4910071183548155E-6</v>
      </c>
    </row>
    <row r="637" spans="7:15" x14ac:dyDescent="0.25">
      <c r="G637" s="23">
        <v>41841</v>
      </c>
      <c r="H637" s="22">
        <v>424.88819999999998</v>
      </c>
      <c r="I637">
        <f t="shared" si="18"/>
        <v>-1.8122085903904406E-5</v>
      </c>
      <c r="J637" s="23">
        <v>41841</v>
      </c>
      <c r="K637" s="22">
        <v>625.10739999999998</v>
      </c>
      <c r="L637">
        <f t="shared" si="18"/>
        <v>-9.0376299719197029E-5</v>
      </c>
      <c r="M637" s="23">
        <v>41801</v>
      </c>
      <c r="N637" s="22">
        <v>722.5992</v>
      </c>
      <c r="O637">
        <f t="shared" si="19"/>
        <v>-2.6293898528484405E-6</v>
      </c>
    </row>
    <row r="638" spans="7:15" x14ac:dyDescent="0.25">
      <c r="G638" s="23">
        <v>41842</v>
      </c>
      <c r="H638" s="22">
        <v>424.86810000000003</v>
      </c>
      <c r="I638">
        <f t="shared" si="18"/>
        <v>-4.730656205553796E-5</v>
      </c>
      <c r="J638" s="23">
        <v>41842</v>
      </c>
      <c r="K638" s="22">
        <v>625.08659999999998</v>
      </c>
      <c r="L638">
        <f t="shared" si="18"/>
        <v>-3.327428214738859E-5</v>
      </c>
      <c r="M638" s="23">
        <v>41802</v>
      </c>
      <c r="N638" s="22">
        <v>722.60199999999998</v>
      </c>
      <c r="O638">
        <f t="shared" si="19"/>
        <v>3.8749004980243029E-6</v>
      </c>
    </row>
    <row r="639" spans="7:15" x14ac:dyDescent="0.25">
      <c r="G639" s="23">
        <v>41843</v>
      </c>
      <c r="H639" s="22">
        <v>424.79329999999999</v>
      </c>
      <c r="I639">
        <f t="shared" si="18"/>
        <v>-1.7605463907510721E-4</v>
      </c>
      <c r="J639" s="23">
        <v>41843</v>
      </c>
      <c r="K639" s="22">
        <v>625.01859999999999</v>
      </c>
      <c r="L639">
        <f t="shared" si="18"/>
        <v>-1.0878492676047458E-4</v>
      </c>
      <c r="M639" s="23">
        <v>41803</v>
      </c>
      <c r="N639" s="22">
        <v>722.60209999999995</v>
      </c>
      <c r="O639">
        <f t="shared" si="19"/>
        <v>1.3838876733451855E-7</v>
      </c>
    </row>
    <row r="640" spans="7:15" x14ac:dyDescent="0.25">
      <c r="G640" s="23">
        <v>41844</v>
      </c>
      <c r="H640" s="22">
        <v>424.73390000000001</v>
      </c>
      <c r="I640">
        <f t="shared" si="18"/>
        <v>-1.3983271393402941E-4</v>
      </c>
      <c r="J640" s="23">
        <v>41844</v>
      </c>
      <c r="K640" s="22">
        <v>624.94659999999999</v>
      </c>
      <c r="L640">
        <f t="shared" si="18"/>
        <v>-1.151965717500758E-4</v>
      </c>
      <c r="M640" s="23">
        <v>41806</v>
      </c>
      <c r="N640" s="22">
        <v>749.00109999999995</v>
      </c>
      <c r="O640">
        <f t="shared" si="19"/>
        <v>3.6533245613318943E-2</v>
      </c>
    </row>
    <row r="641" spans="7:15" x14ac:dyDescent="0.25">
      <c r="G641" s="23">
        <v>41845</v>
      </c>
      <c r="H641" s="22">
        <v>424.7398</v>
      </c>
      <c r="I641">
        <f t="shared" si="18"/>
        <v>1.3891050372860647E-5</v>
      </c>
      <c r="J641" s="23">
        <v>41845</v>
      </c>
      <c r="K641" s="22">
        <v>624.94780000000003</v>
      </c>
      <c r="L641">
        <f t="shared" si="18"/>
        <v>1.9201640588661917E-6</v>
      </c>
      <c r="M641" s="23">
        <v>41807</v>
      </c>
      <c r="N641" s="22">
        <v>747.55870000000004</v>
      </c>
      <c r="O641">
        <f t="shared" si="19"/>
        <v>-1.9257648620274459E-3</v>
      </c>
    </row>
    <row r="642" spans="7:15" x14ac:dyDescent="0.25">
      <c r="G642" s="23">
        <v>41848</v>
      </c>
      <c r="H642" s="22">
        <v>424.7312</v>
      </c>
      <c r="I642">
        <f t="shared" si="18"/>
        <v>-2.0247690468377932E-5</v>
      </c>
      <c r="J642" s="23">
        <v>41848</v>
      </c>
      <c r="K642" s="22">
        <v>624.92499999999995</v>
      </c>
      <c r="L642">
        <f t="shared" si="18"/>
        <v>-3.6483047064161944E-5</v>
      </c>
      <c r="M642" s="23">
        <v>41808</v>
      </c>
      <c r="N642" s="22">
        <v>747.56029999999998</v>
      </c>
      <c r="O642">
        <f t="shared" si="19"/>
        <v>2.1403001528863541E-6</v>
      </c>
    </row>
    <row r="643" spans="7:15" x14ac:dyDescent="0.25">
      <c r="G643" s="23">
        <v>41849</v>
      </c>
      <c r="H643" s="22">
        <v>425.05630000000002</v>
      </c>
      <c r="I643">
        <f t="shared" si="18"/>
        <v>7.6542528545120447E-4</v>
      </c>
      <c r="J643" s="23">
        <v>41849</v>
      </c>
      <c r="K643" s="22">
        <v>622.45540000000005</v>
      </c>
      <c r="L643">
        <f t="shared" si="18"/>
        <v>-3.951834220106254E-3</v>
      </c>
      <c r="M643" s="23">
        <v>41809</v>
      </c>
      <c r="N643" s="22">
        <v>746.50099999999998</v>
      </c>
      <c r="O643">
        <f t="shared" si="19"/>
        <v>-1.4170094372319975E-3</v>
      </c>
    </row>
    <row r="644" spans="7:15" x14ac:dyDescent="0.25">
      <c r="G644" s="23">
        <v>41850</v>
      </c>
      <c r="H644" s="22">
        <v>425.14</v>
      </c>
      <c r="I644">
        <f t="shared" ref="I644:L707" si="20">H644/H643-1</f>
        <v>1.9691509101260607E-4</v>
      </c>
      <c r="J644" s="23">
        <v>41850</v>
      </c>
      <c r="K644" s="22">
        <v>622.7242</v>
      </c>
      <c r="L644">
        <f t="shared" si="20"/>
        <v>4.318381686461148E-4</v>
      </c>
      <c r="M644" s="23">
        <v>41810</v>
      </c>
      <c r="N644" s="22">
        <v>746.16139999999996</v>
      </c>
      <c r="O644">
        <f t="shared" ref="O644:O707" si="21">N644/N643-1</f>
        <v>-4.5492236447108869E-4</v>
      </c>
    </row>
    <row r="645" spans="7:15" x14ac:dyDescent="0.25">
      <c r="G645" s="23">
        <v>41851</v>
      </c>
      <c r="H645" s="22">
        <v>418.03739999999999</v>
      </c>
      <c r="I645">
        <f t="shared" si="20"/>
        <v>-1.6706496683445482E-2</v>
      </c>
      <c r="J645" s="23">
        <v>41851</v>
      </c>
      <c r="K645" s="22">
        <v>622.94870000000003</v>
      </c>
      <c r="L645">
        <f t="shared" si="20"/>
        <v>3.6051272778547805E-4</v>
      </c>
      <c r="M645" s="23">
        <v>41813</v>
      </c>
      <c r="N645" s="22">
        <v>746.1671</v>
      </c>
      <c r="O645">
        <f t="shared" si="21"/>
        <v>7.6390979217855204E-6</v>
      </c>
    </row>
    <row r="646" spans="7:15" x14ac:dyDescent="0.25">
      <c r="G646" s="23">
        <v>41852</v>
      </c>
      <c r="H646" s="22">
        <v>418.15260000000001</v>
      </c>
      <c r="I646">
        <f t="shared" si="20"/>
        <v>2.7557342955453201E-4</v>
      </c>
      <c r="J646" s="23">
        <v>41852</v>
      </c>
      <c r="K646" s="22">
        <v>623.0059</v>
      </c>
      <c r="L646">
        <f t="shared" si="20"/>
        <v>9.1821365065802851E-5</v>
      </c>
      <c r="M646" s="23">
        <v>41814</v>
      </c>
      <c r="N646" s="22">
        <v>746.16359999999997</v>
      </c>
      <c r="O646">
        <f t="shared" si="21"/>
        <v>-4.6906383301958954E-6</v>
      </c>
    </row>
    <row r="647" spans="7:15" x14ac:dyDescent="0.25">
      <c r="G647" s="23">
        <v>41855</v>
      </c>
      <c r="H647" s="22">
        <v>418.8775</v>
      </c>
      <c r="I647">
        <f t="shared" si="20"/>
        <v>1.7335776460554175E-3</v>
      </c>
      <c r="J647" s="23">
        <v>41855</v>
      </c>
      <c r="K647" s="22">
        <v>623.4846</v>
      </c>
      <c r="L647">
        <f t="shared" si="20"/>
        <v>7.6837153548625636E-4</v>
      </c>
      <c r="M647" s="23">
        <v>41815</v>
      </c>
      <c r="N647" s="22">
        <v>746.20209999999997</v>
      </c>
      <c r="O647">
        <f t="shared" si="21"/>
        <v>5.1597263656333325E-5</v>
      </c>
    </row>
    <row r="648" spans="7:15" x14ac:dyDescent="0.25">
      <c r="G648" s="23">
        <v>41856</v>
      </c>
      <c r="H648" s="22">
        <v>418.9821</v>
      </c>
      <c r="I648">
        <f t="shared" si="20"/>
        <v>2.4971501214565706E-4</v>
      </c>
      <c r="J648" s="23">
        <v>41856</v>
      </c>
      <c r="K648" s="22">
        <v>623.64670000000001</v>
      </c>
      <c r="L648">
        <f t="shared" si="20"/>
        <v>2.5999038308244238E-4</v>
      </c>
      <c r="M648" s="23">
        <v>41816</v>
      </c>
      <c r="N648" s="22">
        <v>746.48659999999995</v>
      </c>
      <c r="O648">
        <f t="shared" si="21"/>
        <v>3.8126400341131905E-4</v>
      </c>
    </row>
    <row r="649" spans="7:15" x14ac:dyDescent="0.25">
      <c r="G649" s="23">
        <v>41857</v>
      </c>
      <c r="H649" s="22">
        <v>418.97</v>
      </c>
      <c r="I649">
        <f t="shared" si="20"/>
        <v>-2.8879515377777665E-5</v>
      </c>
      <c r="J649" s="23">
        <v>41857</v>
      </c>
      <c r="K649" s="22">
        <v>623.3981</v>
      </c>
      <c r="L649">
        <f t="shared" si="20"/>
        <v>-3.9862313069238819E-4</v>
      </c>
      <c r="M649" s="23">
        <v>41817</v>
      </c>
      <c r="N649" s="22">
        <v>746.45069999999998</v>
      </c>
      <c r="O649">
        <f t="shared" si="21"/>
        <v>-4.8091955033080502E-5</v>
      </c>
    </row>
    <row r="650" spans="7:15" x14ac:dyDescent="0.25">
      <c r="G650" s="23">
        <v>41858</v>
      </c>
      <c r="H650" s="22">
        <v>433.8</v>
      </c>
      <c r="I650">
        <f t="shared" si="20"/>
        <v>3.5396329092775014E-2</v>
      </c>
      <c r="J650" s="23">
        <v>41858</v>
      </c>
      <c r="K650" s="22">
        <v>632.928</v>
      </c>
      <c r="L650">
        <f t="shared" si="20"/>
        <v>1.5287021246936705E-2</v>
      </c>
      <c r="M650" s="23">
        <v>41820</v>
      </c>
      <c r="N650" s="22">
        <v>743.85289999999998</v>
      </c>
      <c r="O650">
        <f t="shared" si="21"/>
        <v>-3.4802030462293132E-3</v>
      </c>
    </row>
    <row r="651" spans="7:15" x14ac:dyDescent="0.25">
      <c r="G651" s="23">
        <v>41859</v>
      </c>
      <c r="H651" s="22">
        <v>433.77940000000001</v>
      </c>
      <c r="I651">
        <f t="shared" si="20"/>
        <v>-4.748732134629563E-5</v>
      </c>
      <c r="J651" s="23">
        <v>41859</v>
      </c>
      <c r="K651" s="22">
        <v>632.774</v>
      </c>
      <c r="L651">
        <f t="shared" si="20"/>
        <v>-2.4331361545071317E-4</v>
      </c>
      <c r="M651" s="23">
        <v>41821</v>
      </c>
      <c r="N651" s="22">
        <v>743.24919999999997</v>
      </c>
      <c r="O651">
        <f t="shared" si="21"/>
        <v>-8.1158519379298522E-4</v>
      </c>
    </row>
    <row r="652" spans="7:15" x14ac:dyDescent="0.25">
      <c r="G652" s="23">
        <v>41862</v>
      </c>
      <c r="H652" s="22">
        <v>433.8897</v>
      </c>
      <c r="I652">
        <f t="shared" si="20"/>
        <v>2.5427671300204402E-4</v>
      </c>
      <c r="J652" s="23">
        <v>41862</v>
      </c>
      <c r="K652" s="22">
        <v>632.53120000000001</v>
      </c>
      <c r="L652">
        <f t="shared" si="20"/>
        <v>-3.8370729517966939E-4</v>
      </c>
      <c r="M652" s="23">
        <v>41822</v>
      </c>
      <c r="N652" s="22">
        <v>742.93320000000006</v>
      </c>
      <c r="O652">
        <f t="shared" si="21"/>
        <v>-4.2516022889749205E-4</v>
      </c>
    </row>
    <row r="653" spans="7:15" x14ac:dyDescent="0.25">
      <c r="G653" s="23">
        <v>41863</v>
      </c>
      <c r="H653" s="22">
        <v>433.99829999999997</v>
      </c>
      <c r="I653">
        <f t="shared" si="20"/>
        <v>2.5029402633891529E-4</v>
      </c>
      <c r="J653" s="23">
        <v>41863</v>
      </c>
      <c r="K653" s="22">
        <v>632.86429999999996</v>
      </c>
      <c r="L653">
        <f t="shared" si="20"/>
        <v>5.2661433934009239E-4</v>
      </c>
      <c r="M653" s="23">
        <v>41823</v>
      </c>
      <c r="N653" s="22">
        <v>741.39070000000004</v>
      </c>
      <c r="O653">
        <f t="shared" si="21"/>
        <v>-2.0762297337095781E-3</v>
      </c>
    </row>
    <row r="654" spans="7:15" x14ac:dyDescent="0.25">
      <c r="G654" s="23">
        <v>41864</v>
      </c>
      <c r="H654" s="22">
        <v>434.05009999999999</v>
      </c>
      <c r="I654">
        <f t="shared" si="20"/>
        <v>1.1935530623041757E-4</v>
      </c>
      <c r="J654" s="23">
        <v>41864</v>
      </c>
      <c r="K654" s="22">
        <v>632.86680000000001</v>
      </c>
      <c r="L654">
        <f t="shared" si="20"/>
        <v>3.9502939257474168E-6</v>
      </c>
      <c r="M654" s="23">
        <v>41827</v>
      </c>
      <c r="N654" s="22">
        <v>745.19619999999998</v>
      </c>
      <c r="O654">
        <f t="shared" si="21"/>
        <v>5.1329211440067635E-3</v>
      </c>
    </row>
    <row r="655" spans="7:15" x14ac:dyDescent="0.25">
      <c r="G655" s="23">
        <v>41865</v>
      </c>
      <c r="H655" s="22">
        <v>433.88929999999999</v>
      </c>
      <c r="I655">
        <f t="shared" si="20"/>
        <v>-3.7046414688068907E-4</v>
      </c>
      <c r="J655" s="23">
        <v>41865</v>
      </c>
      <c r="K655" s="22">
        <v>632.27689999999996</v>
      </c>
      <c r="L655">
        <f t="shared" si="20"/>
        <v>-9.3210767257823068E-4</v>
      </c>
      <c r="M655" s="23">
        <v>41828</v>
      </c>
      <c r="N655" s="22">
        <v>745.19669999999996</v>
      </c>
      <c r="O655">
        <f t="shared" si="21"/>
        <v>6.7096423728152388E-7</v>
      </c>
    </row>
    <row r="656" spans="7:15" x14ac:dyDescent="0.25">
      <c r="G656" s="23">
        <v>41866</v>
      </c>
      <c r="H656" s="22">
        <v>433.90179999999998</v>
      </c>
      <c r="I656">
        <f t="shared" si="20"/>
        <v>2.8809191653156319E-5</v>
      </c>
      <c r="J656" s="23">
        <v>41866</v>
      </c>
      <c r="K656" s="22">
        <v>632.27239999999995</v>
      </c>
      <c r="L656">
        <f t="shared" si="20"/>
        <v>-7.1171349135257245E-6</v>
      </c>
      <c r="M656" s="23">
        <v>41829</v>
      </c>
      <c r="N656" s="22">
        <v>745.202</v>
      </c>
      <c r="O656">
        <f t="shared" si="21"/>
        <v>7.1122161438008646E-6</v>
      </c>
    </row>
    <row r="657" spans="7:15" x14ac:dyDescent="0.25">
      <c r="G657" s="23">
        <v>41869</v>
      </c>
      <c r="H657" s="22">
        <v>433.90550000000002</v>
      </c>
      <c r="I657">
        <f t="shared" si="20"/>
        <v>8.5272750656173457E-6</v>
      </c>
      <c r="J657" s="23">
        <v>41869</v>
      </c>
      <c r="K657" s="22">
        <v>632.28089999999997</v>
      </c>
      <c r="L657">
        <f t="shared" si="20"/>
        <v>1.3443572738580656E-5</v>
      </c>
      <c r="M657" s="23">
        <v>41830</v>
      </c>
      <c r="N657" s="22">
        <v>742.85649999999998</v>
      </c>
      <c r="O657">
        <f t="shared" si="21"/>
        <v>-3.1474687400194767E-3</v>
      </c>
    </row>
    <row r="658" spans="7:15" x14ac:dyDescent="0.25">
      <c r="G658" s="23">
        <v>41870</v>
      </c>
      <c r="H658" s="22">
        <v>433.9074</v>
      </c>
      <c r="I658">
        <f t="shared" si="20"/>
        <v>4.378833639906432E-6</v>
      </c>
      <c r="J658" s="23">
        <v>41870</v>
      </c>
      <c r="K658" s="22">
        <v>632.28279999999995</v>
      </c>
      <c r="L658">
        <f t="shared" si="20"/>
        <v>3.0049935084708324E-6</v>
      </c>
      <c r="M658" s="23">
        <v>41831</v>
      </c>
      <c r="N658" s="22">
        <v>742.11149999999998</v>
      </c>
      <c r="O658">
        <f t="shared" si="21"/>
        <v>-1.0028854832663248E-3</v>
      </c>
    </row>
    <row r="659" spans="7:15" x14ac:dyDescent="0.25">
      <c r="G659" s="23">
        <v>41871</v>
      </c>
      <c r="H659" s="22">
        <v>433.91570000000002</v>
      </c>
      <c r="I659">
        <f t="shared" si="20"/>
        <v>1.912850529861565E-5</v>
      </c>
      <c r="J659" s="23">
        <v>41871</v>
      </c>
      <c r="K659" s="22">
        <v>632.28520000000003</v>
      </c>
      <c r="L659">
        <f t="shared" si="20"/>
        <v>3.7957698677537621E-6</v>
      </c>
      <c r="M659" s="23">
        <v>41834</v>
      </c>
      <c r="N659" s="22">
        <v>742.3288</v>
      </c>
      <c r="O659">
        <f t="shared" si="21"/>
        <v>2.9281314196061281E-4</v>
      </c>
    </row>
    <row r="660" spans="7:15" x14ac:dyDescent="0.25">
      <c r="G660" s="23">
        <v>41872</v>
      </c>
      <c r="H660" s="22">
        <v>433.90269999999998</v>
      </c>
      <c r="I660">
        <f t="shared" si="20"/>
        <v>-2.9959736418949667E-5</v>
      </c>
      <c r="J660" s="23">
        <v>41872</v>
      </c>
      <c r="K660" s="22">
        <v>632.28070000000002</v>
      </c>
      <c r="L660">
        <f t="shared" si="20"/>
        <v>-7.1170414870369569E-6</v>
      </c>
      <c r="M660" s="23">
        <v>41835</v>
      </c>
      <c r="N660" s="22">
        <v>740.96230000000003</v>
      </c>
      <c r="O660">
        <f t="shared" si="21"/>
        <v>-1.8408284846282985E-3</v>
      </c>
    </row>
    <row r="661" spans="7:15" x14ac:dyDescent="0.25">
      <c r="G661" s="23">
        <v>41873</v>
      </c>
      <c r="H661" s="22">
        <v>429.05529999999999</v>
      </c>
      <c r="I661">
        <f t="shared" si="20"/>
        <v>-1.1171629031116903E-2</v>
      </c>
      <c r="J661" s="23">
        <v>41873</v>
      </c>
      <c r="K661" s="22">
        <v>632.23379999999997</v>
      </c>
      <c r="L661">
        <f t="shared" si="20"/>
        <v>-7.417591585512362E-5</v>
      </c>
      <c r="M661" s="23">
        <v>41836</v>
      </c>
      <c r="N661" s="22">
        <v>740.95659999999998</v>
      </c>
      <c r="O661">
        <f t="shared" si="21"/>
        <v>-7.6926990753012348E-6</v>
      </c>
    </row>
    <row r="662" spans="7:15" x14ac:dyDescent="0.25">
      <c r="G662" s="23">
        <v>41876</v>
      </c>
      <c r="H662" s="22">
        <v>428.83080000000001</v>
      </c>
      <c r="I662">
        <f t="shared" si="20"/>
        <v>-5.2324257502467386E-4</v>
      </c>
      <c r="J662" s="23">
        <v>41876</v>
      </c>
      <c r="K662" s="22">
        <v>632.15160000000003</v>
      </c>
      <c r="L662">
        <f t="shared" si="20"/>
        <v>-1.3001519374622461E-4</v>
      </c>
      <c r="M662" s="23">
        <v>41837</v>
      </c>
      <c r="N662" s="22">
        <v>740.96169999999995</v>
      </c>
      <c r="O662">
        <f t="shared" si="21"/>
        <v>6.8829942265757893E-6</v>
      </c>
    </row>
    <row r="663" spans="7:15" x14ac:dyDescent="0.25">
      <c r="G663" s="23">
        <v>41877</v>
      </c>
      <c r="H663" s="22">
        <v>428.8347</v>
      </c>
      <c r="I663">
        <f t="shared" si="20"/>
        <v>9.0944960109418105E-6</v>
      </c>
      <c r="J663" s="23">
        <v>41877</v>
      </c>
      <c r="K663" s="22">
        <v>632.15309999999999</v>
      </c>
      <c r="L663">
        <f t="shared" si="20"/>
        <v>2.3728485381013797E-6</v>
      </c>
      <c r="M663" s="23">
        <v>41838</v>
      </c>
      <c r="N663" s="22">
        <v>741.14729999999997</v>
      </c>
      <c r="O663">
        <f t="shared" si="21"/>
        <v>2.5048528149307359E-4</v>
      </c>
    </row>
    <row r="664" spans="7:15" x14ac:dyDescent="0.25">
      <c r="G664" s="23">
        <v>41878</v>
      </c>
      <c r="H664" s="22">
        <v>429.46080000000001</v>
      </c>
      <c r="I664">
        <f t="shared" si="20"/>
        <v>1.4600031200833197E-3</v>
      </c>
      <c r="J664" s="23">
        <v>41878</v>
      </c>
      <c r="K664" s="22">
        <v>633.59469999999999</v>
      </c>
      <c r="L664">
        <f t="shared" si="20"/>
        <v>2.2804602239552274E-3</v>
      </c>
      <c r="M664" s="23">
        <v>41841</v>
      </c>
      <c r="N664" s="22">
        <v>741.12699999999995</v>
      </c>
      <c r="O664">
        <f t="shared" si="21"/>
        <v>-2.7389966879787231E-5</v>
      </c>
    </row>
    <row r="665" spans="7:15" x14ac:dyDescent="0.25">
      <c r="G665" s="23">
        <v>41879</v>
      </c>
      <c r="H665" s="22">
        <v>429.50659999999999</v>
      </c>
      <c r="I665">
        <f t="shared" si="20"/>
        <v>1.0664535622328941E-4</v>
      </c>
      <c r="J665" s="23">
        <v>41879</v>
      </c>
      <c r="K665" s="22">
        <v>633.60500000000002</v>
      </c>
      <c r="L665">
        <f t="shared" si="20"/>
        <v>1.6256449114848692E-5</v>
      </c>
      <c r="M665" s="23">
        <v>41842</v>
      </c>
      <c r="N665" s="22">
        <v>741.11270000000002</v>
      </c>
      <c r="O665">
        <f t="shared" si="21"/>
        <v>-1.9294938654157434E-5</v>
      </c>
    </row>
    <row r="666" spans="7:15" x14ac:dyDescent="0.25">
      <c r="G666" s="23">
        <v>41880</v>
      </c>
      <c r="H666" s="22">
        <v>430.35120000000001</v>
      </c>
      <c r="I666">
        <f t="shared" si="20"/>
        <v>1.9664424248662105E-3</v>
      </c>
      <c r="J666" s="23">
        <v>41880</v>
      </c>
      <c r="K666" s="22">
        <v>634.36080000000004</v>
      </c>
      <c r="L666">
        <f t="shared" si="20"/>
        <v>1.1928567482895058E-3</v>
      </c>
      <c r="M666" s="23">
        <v>41843</v>
      </c>
      <c r="N666" s="22">
        <v>741.11829999999998</v>
      </c>
      <c r="O666">
        <f t="shared" si="21"/>
        <v>7.5562056889300067E-6</v>
      </c>
    </row>
    <row r="667" spans="7:15" x14ac:dyDescent="0.25">
      <c r="G667" s="23">
        <v>41884</v>
      </c>
      <c r="H667" s="22">
        <v>430.34800000000001</v>
      </c>
      <c r="I667">
        <f t="shared" si="20"/>
        <v>-7.4357873289798704E-6</v>
      </c>
      <c r="J667" s="23">
        <v>41884</v>
      </c>
      <c r="K667" s="22">
        <v>634.4384</v>
      </c>
      <c r="L667">
        <f t="shared" si="20"/>
        <v>1.2232786136845419E-4</v>
      </c>
      <c r="M667" s="23">
        <v>41844</v>
      </c>
      <c r="N667" s="22">
        <v>741.11890000000005</v>
      </c>
      <c r="O667">
        <f t="shared" si="21"/>
        <v>8.0958734938185728E-7</v>
      </c>
    </row>
    <row r="668" spans="7:15" x14ac:dyDescent="0.25">
      <c r="G668" s="23">
        <v>41885</v>
      </c>
      <c r="H668" s="22">
        <v>430.34809999999999</v>
      </c>
      <c r="I668">
        <f t="shared" si="20"/>
        <v>2.323700818429586E-7</v>
      </c>
      <c r="J668" s="23">
        <v>41885</v>
      </c>
      <c r="K668" s="22">
        <v>634.43759999999997</v>
      </c>
      <c r="L668">
        <f t="shared" si="20"/>
        <v>-1.2609577226818658E-6</v>
      </c>
      <c r="M668" s="23">
        <v>41845</v>
      </c>
      <c r="N668" s="22">
        <v>741.10640000000001</v>
      </c>
      <c r="O668">
        <f t="shared" si="21"/>
        <v>-1.6866389455194586E-5</v>
      </c>
    </row>
    <row r="669" spans="7:15" x14ac:dyDescent="0.25">
      <c r="G669" s="23">
        <v>41886</v>
      </c>
      <c r="H669" s="22">
        <v>430.43810000000002</v>
      </c>
      <c r="I669">
        <f t="shared" si="20"/>
        <v>2.0913302510239262E-4</v>
      </c>
      <c r="J669" s="23">
        <v>41886</v>
      </c>
      <c r="K669" s="22">
        <v>634.43650000000002</v>
      </c>
      <c r="L669">
        <f t="shared" si="20"/>
        <v>-1.7338190547722121E-6</v>
      </c>
      <c r="M669" s="23">
        <v>41848</v>
      </c>
      <c r="N669" s="22">
        <v>741.1422</v>
      </c>
      <c r="O669">
        <f t="shared" si="21"/>
        <v>4.830615415007955E-5</v>
      </c>
    </row>
    <row r="670" spans="7:15" x14ac:dyDescent="0.25">
      <c r="G670" s="23">
        <v>41887</v>
      </c>
      <c r="H670" s="22">
        <v>430.45190000000002</v>
      </c>
      <c r="I670">
        <f t="shared" si="20"/>
        <v>3.206035896918813E-5</v>
      </c>
      <c r="J670" s="23">
        <v>41887</v>
      </c>
      <c r="K670" s="22">
        <v>634.92650000000003</v>
      </c>
      <c r="L670">
        <f t="shared" si="20"/>
        <v>7.7233891807937383E-4</v>
      </c>
      <c r="M670" s="23">
        <v>41849</v>
      </c>
      <c r="N670" s="22">
        <v>740.97109999999998</v>
      </c>
      <c r="O670">
        <f t="shared" si="21"/>
        <v>-2.3085988087034881E-4</v>
      </c>
    </row>
    <row r="671" spans="7:15" x14ac:dyDescent="0.25">
      <c r="G671" s="23">
        <v>41890</v>
      </c>
      <c r="H671" s="22">
        <v>430.38760000000002</v>
      </c>
      <c r="I671">
        <f t="shared" si="20"/>
        <v>-1.4937789797186962E-4</v>
      </c>
      <c r="J671" s="23">
        <v>41890</v>
      </c>
      <c r="K671" s="22">
        <v>634.92999999999995</v>
      </c>
      <c r="L671">
        <f t="shared" si="20"/>
        <v>5.5124490785374292E-6</v>
      </c>
      <c r="M671" s="23">
        <v>41850</v>
      </c>
      <c r="N671" s="22">
        <v>740.92020000000002</v>
      </c>
      <c r="O671">
        <f t="shared" si="21"/>
        <v>-6.869363730910294E-5</v>
      </c>
    </row>
    <row r="672" spans="7:15" x14ac:dyDescent="0.25">
      <c r="G672" s="23">
        <v>41891</v>
      </c>
      <c r="H672" s="22">
        <v>430.39030000000002</v>
      </c>
      <c r="I672">
        <f t="shared" si="20"/>
        <v>6.2734149404164441E-6</v>
      </c>
      <c r="J672" s="23">
        <v>41891</v>
      </c>
      <c r="K672" s="22">
        <v>635.06169999999997</v>
      </c>
      <c r="L672">
        <f t="shared" si="20"/>
        <v>2.0742444048948983E-4</v>
      </c>
      <c r="M672" s="23">
        <v>41851</v>
      </c>
      <c r="N672" s="22">
        <v>741.73710000000005</v>
      </c>
      <c r="O672">
        <f t="shared" si="21"/>
        <v>1.1025478857238369E-3</v>
      </c>
    </row>
    <row r="673" spans="7:15" x14ac:dyDescent="0.25">
      <c r="G673" s="23">
        <v>41892</v>
      </c>
      <c r="H673" s="22">
        <v>430.39420000000001</v>
      </c>
      <c r="I673">
        <f t="shared" si="20"/>
        <v>9.0615425114570769E-6</v>
      </c>
      <c r="J673" s="23">
        <v>41892</v>
      </c>
      <c r="K673" s="22">
        <v>635.04430000000002</v>
      </c>
      <c r="L673">
        <f t="shared" si="20"/>
        <v>-2.739891257808047E-5</v>
      </c>
      <c r="M673" s="23">
        <v>41852</v>
      </c>
      <c r="N673" s="22">
        <v>741.13779999999997</v>
      </c>
      <c r="O673">
        <f t="shared" si="21"/>
        <v>-8.079682140749167E-4</v>
      </c>
    </row>
    <row r="674" spans="7:15" x14ac:dyDescent="0.25">
      <c r="G674" s="23">
        <v>41893</v>
      </c>
      <c r="H674" s="22">
        <v>430.41539999999998</v>
      </c>
      <c r="I674">
        <f t="shared" si="20"/>
        <v>4.9257169357774799E-5</v>
      </c>
      <c r="J674" s="23">
        <v>41893</v>
      </c>
      <c r="K674" s="22">
        <v>635.00009999999997</v>
      </c>
      <c r="L674">
        <f t="shared" si="20"/>
        <v>-6.960144355294684E-5</v>
      </c>
      <c r="M674" s="23">
        <v>41855</v>
      </c>
      <c r="N674" s="22">
        <v>742.06470000000002</v>
      </c>
      <c r="O674">
        <f t="shared" si="21"/>
        <v>1.2506446169660013E-3</v>
      </c>
    </row>
    <row r="675" spans="7:15" x14ac:dyDescent="0.25">
      <c r="G675" s="23">
        <v>41894</v>
      </c>
      <c r="H675" s="22">
        <v>430.41660000000002</v>
      </c>
      <c r="I675">
        <f t="shared" si="20"/>
        <v>2.7880043327321857E-6</v>
      </c>
      <c r="J675" s="23">
        <v>41894</v>
      </c>
      <c r="K675" s="22">
        <v>635.00160000000005</v>
      </c>
      <c r="L675">
        <f t="shared" si="20"/>
        <v>2.3622043525683978E-6</v>
      </c>
      <c r="M675" s="23">
        <v>41856</v>
      </c>
      <c r="N675" s="22">
        <v>742.0598</v>
      </c>
      <c r="O675">
        <f t="shared" si="21"/>
        <v>-6.603197807431016E-6</v>
      </c>
    </row>
    <row r="676" spans="7:15" x14ac:dyDescent="0.25">
      <c r="G676" s="23">
        <v>41897</v>
      </c>
      <c r="H676" s="22">
        <v>440.60149999999999</v>
      </c>
      <c r="I676">
        <f t="shared" si="20"/>
        <v>2.3662888466662313E-2</v>
      </c>
      <c r="J676" s="23">
        <v>41897</v>
      </c>
      <c r="K676" s="22">
        <v>652.57839999999999</v>
      </c>
      <c r="L676">
        <f t="shared" si="20"/>
        <v>2.7679930255293694E-2</v>
      </c>
      <c r="M676" s="23">
        <v>41857</v>
      </c>
      <c r="N676" s="22">
        <v>742.36300000000006</v>
      </c>
      <c r="O676">
        <f t="shared" si="21"/>
        <v>4.0859240724278045E-4</v>
      </c>
    </row>
    <row r="677" spans="7:15" x14ac:dyDescent="0.25">
      <c r="G677" s="23">
        <v>41899</v>
      </c>
      <c r="H677" s="22">
        <v>440.35039999999998</v>
      </c>
      <c r="I677">
        <f t="shared" si="20"/>
        <v>-5.6990273523804813E-4</v>
      </c>
      <c r="J677" s="23">
        <v>41899</v>
      </c>
      <c r="K677" s="22">
        <v>652.35599999999999</v>
      </c>
      <c r="L677">
        <f t="shared" si="20"/>
        <v>-3.4080196341157443E-4</v>
      </c>
      <c r="M677" s="23">
        <v>41858</v>
      </c>
      <c r="N677" s="22">
        <v>765.97739999999999</v>
      </c>
      <c r="O677">
        <f t="shared" si="21"/>
        <v>3.1809775002256124E-2</v>
      </c>
    </row>
    <row r="678" spans="7:15" x14ac:dyDescent="0.25">
      <c r="G678" s="23">
        <v>41900</v>
      </c>
      <c r="H678" s="22">
        <v>440.28680000000003</v>
      </c>
      <c r="I678">
        <f t="shared" si="20"/>
        <v>-1.4443043539857925E-4</v>
      </c>
      <c r="J678" s="23">
        <v>41900</v>
      </c>
      <c r="K678" s="22">
        <v>651.93870000000004</v>
      </c>
      <c r="L678">
        <f t="shared" si="20"/>
        <v>-6.3968140095282955E-4</v>
      </c>
      <c r="M678" s="23">
        <v>41859</v>
      </c>
      <c r="N678" s="22">
        <v>765.97950000000003</v>
      </c>
      <c r="O678">
        <f t="shared" si="21"/>
        <v>2.7415952481568695E-6</v>
      </c>
    </row>
    <row r="679" spans="7:15" x14ac:dyDescent="0.25">
      <c r="G679" s="23">
        <v>41901</v>
      </c>
      <c r="H679" s="22">
        <v>440.28719999999998</v>
      </c>
      <c r="I679">
        <f t="shared" si="20"/>
        <v>9.0849873290999028E-7</v>
      </c>
      <c r="J679" s="23">
        <v>41901</v>
      </c>
      <c r="K679" s="22">
        <v>651.93870000000004</v>
      </c>
      <c r="L679">
        <f t="shared" si="20"/>
        <v>0</v>
      </c>
      <c r="M679" s="23">
        <v>41862</v>
      </c>
      <c r="N679" s="22">
        <v>764.95749999999998</v>
      </c>
      <c r="O679">
        <f t="shared" si="21"/>
        <v>-1.3342393628028582E-3</v>
      </c>
    </row>
    <row r="680" spans="7:15" x14ac:dyDescent="0.25">
      <c r="G680" s="23">
        <v>41904</v>
      </c>
      <c r="H680" s="22">
        <v>440.28980000000001</v>
      </c>
      <c r="I680">
        <f t="shared" si="20"/>
        <v>5.9052364003164826E-6</v>
      </c>
      <c r="J680" s="23">
        <v>41904</v>
      </c>
      <c r="K680" s="22">
        <v>651.94230000000005</v>
      </c>
      <c r="L680">
        <f t="shared" si="20"/>
        <v>5.5219915615634108E-6</v>
      </c>
      <c r="M680" s="23">
        <v>41863</v>
      </c>
      <c r="N680" s="22">
        <v>764.76199999999994</v>
      </c>
      <c r="O680">
        <f t="shared" si="21"/>
        <v>-2.5556975387530656E-4</v>
      </c>
    </row>
    <row r="681" spans="7:15" x14ac:dyDescent="0.25">
      <c r="G681" s="23">
        <v>41905</v>
      </c>
      <c r="H681" s="22">
        <v>440.17700000000002</v>
      </c>
      <c r="I681">
        <f t="shared" si="20"/>
        <v>-2.5619489708816889E-4</v>
      </c>
      <c r="J681" s="23">
        <v>41905</v>
      </c>
      <c r="K681" s="22">
        <v>651.89080000000001</v>
      </c>
      <c r="L681">
        <f t="shared" si="20"/>
        <v>-7.8994720851932598E-5</v>
      </c>
      <c r="M681" s="23">
        <v>41864</v>
      </c>
      <c r="N681" s="22">
        <v>764.76520000000005</v>
      </c>
      <c r="O681">
        <f t="shared" si="21"/>
        <v>4.1843083209425203E-6</v>
      </c>
    </row>
    <row r="682" spans="7:15" x14ac:dyDescent="0.25">
      <c r="G682" s="23">
        <v>41906</v>
      </c>
      <c r="H682" s="22">
        <v>440.17910000000001</v>
      </c>
      <c r="I682">
        <f t="shared" si="20"/>
        <v>4.7708081067909802E-6</v>
      </c>
      <c r="J682" s="23">
        <v>41906</v>
      </c>
      <c r="K682" s="22">
        <v>651.88400000000001</v>
      </c>
      <c r="L682">
        <f t="shared" si="20"/>
        <v>-1.0431194917948083E-5</v>
      </c>
      <c r="M682" s="23">
        <v>41865</v>
      </c>
      <c r="N682" s="22">
        <v>764.50289999999995</v>
      </c>
      <c r="O682">
        <f t="shared" si="21"/>
        <v>-3.4298108752872647E-4</v>
      </c>
    </row>
    <row r="683" spans="7:15" x14ac:dyDescent="0.25">
      <c r="G683" s="23">
        <v>41907</v>
      </c>
      <c r="H683" s="22">
        <v>440.1859</v>
      </c>
      <c r="I683">
        <f t="shared" si="20"/>
        <v>1.5448257311589941E-5</v>
      </c>
      <c r="J683" s="23">
        <v>41907</v>
      </c>
      <c r="K683" s="22">
        <v>651.89739999999995</v>
      </c>
      <c r="L683">
        <f t="shared" si="20"/>
        <v>2.0555804406852118E-5</v>
      </c>
      <c r="M683" s="23">
        <v>41866</v>
      </c>
      <c r="N683" s="22">
        <v>764.47569999999996</v>
      </c>
      <c r="O683">
        <f t="shared" si="21"/>
        <v>-3.5578674717928749E-5</v>
      </c>
    </row>
    <row r="684" spans="7:15" x14ac:dyDescent="0.25">
      <c r="G684" s="23">
        <v>41908</v>
      </c>
      <c r="H684" s="22">
        <v>440.25639999999999</v>
      </c>
      <c r="I684">
        <f t="shared" si="20"/>
        <v>1.6015960529403017E-4</v>
      </c>
      <c r="J684" s="23">
        <v>41908</v>
      </c>
      <c r="K684" s="22">
        <v>651.92349999999999</v>
      </c>
      <c r="L684">
        <f t="shared" si="20"/>
        <v>4.0036975143653564E-5</v>
      </c>
      <c r="M684" s="23">
        <v>41869</v>
      </c>
      <c r="N684" s="22">
        <v>764.48109999999997</v>
      </c>
      <c r="O684">
        <f t="shared" si="21"/>
        <v>7.0636646789523638E-6</v>
      </c>
    </row>
    <row r="685" spans="7:15" x14ac:dyDescent="0.25">
      <c r="G685" s="23">
        <v>41911</v>
      </c>
      <c r="H685" s="22">
        <v>442.6678</v>
      </c>
      <c r="I685">
        <f t="shared" si="20"/>
        <v>5.4772627950439023E-3</v>
      </c>
      <c r="J685" s="23">
        <v>41911</v>
      </c>
      <c r="K685" s="22">
        <v>652.06870000000004</v>
      </c>
      <c r="L685">
        <f t="shared" si="20"/>
        <v>2.2272551917534855E-4</v>
      </c>
      <c r="M685" s="23">
        <v>41870</v>
      </c>
      <c r="N685" s="22">
        <v>764.47839999999997</v>
      </c>
      <c r="O685">
        <f t="shared" si="21"/>
        <v>-3.5318073919876625E-6</v>
      </c>
    </row>
    <row r="686" spans="7:15" x14ac:dyDescent="0.25">
      <c r="G686" s="23">
        <v>41912</v>
      </c>
      <c r="H686" s="22">
        <v>442.69209999999998</v>
      </c>
      <c r="I686">
        <f t="shared" si="20"/>
        <v>5.4894437770292015E-5</v>
      </c>
      <c r="J686" s="23">
        <v>41912</v>
      </c>
      <c r="K686" s="22">
        <v>652.91449999999998</v>
      </c>
      <c r="L686">
        <f t="shared" si="20"/>
        <v>1.2971025905705869E-3</v>
      </c>
      <c r="M686" s="23">
        <v>41871</v>
      </c>
      <c r="N686" s="22">
        <v>764.46550000000002</v>
      </c>
      <c r="O686">
        <f t="shared" si="21"/>
        <v>-1.6874250469256502E-5</v>
      </c>
    </row>
    <row r="687" spans="7:15" x14ac:dyDescent="0.25">
      <c r="G687" s="23">
        <v>41913</v>
      </c>
      <c r="H687" s="22">
        <v>442.69979999999998</v>
      </c>
      <c r="I687">
        <f t="shared" si="20"/>
        <v>1.7393578968238899E-5</v>
      </c>
      <c r="J687" s="23">
        <v>41913</v>
      </c>
      <c r="K687" s="22">
        <v>652.91099999999994</v>
      </c>
      <c r="L687">
        <f t="shared" si="20"/>
        <v>-5.3605793715050254E-6</v>
      </c>
      <c r="M687" s="23">
        <v>41872</v>
      </c>
      <c r="N687" s="22">
        <v>764.46690000000001</v>
      </c>
      <c r="O687">
        <f t="shared" si="21"/>
        <v>1.8313449070550547E-6</v>
      </c>
    </row>
    <row r="688" spans="7:15" x14ac:dyDescent="0.25">
      <c r="G688" s="23">
        <v>41914</v>
      </c>
      <c r="H688" s="22">
        <v>442.87389999999999</v>
      </c>
      <c r="I688">
        <f t="shared" si="20"/>
        <v>3.9326875684153606E-4</v>
      </c>
      <c r="J688" s="23">
        <v>41914</v>
      </c>
      <c r="K688" s="22">
        <v>652.81190000000004</v>
      </c>
      <c r="L688">
        <f t="shared" si="20"/>
        <v>-1.5178178955466137E-4</v>
      </c>
      <c r="M688" s="23">
        <v>41873</v>
      </c>
      <c r="N688" s="22">
        <v>764.47130000000004</v>
      </c>
      <c r="O688">
        <f t="shared" si="21"/>
        <v>5.755644881366706E-6</v>
      </c>
    </row>
    <row r="689" spans="7:15" x14ac:dyDescent="0.25">
      <c r="G689" s="23">
        <v>41915</v>
      </c>
      <c r="H689" s="22">
        <v>442.90980000000002</v>
      </c>
      <c r="I689">
        <f t="shared" si="20"/>
        <v>8.1061448868435804E-5</v>
      </c>
      <c r="J689" s="23">
        <v>41915</v>
      </c>
      <c r="K689" s="22">
        <v>652.75049999999999</v>
      </c>
      <c r="L689">
        <f t="shared" si="20"/>
        <v>-9.4054658011044623E-5</v>
      </c>
      <c r="M689" s="23">
        <v>41876</v>
      </c>
      <c r="N689" s="22">
        <v>764.47329999999999</v>
      </c>
      <c r="O689">
        <f t="shared" si="21"/>
        <v>2.6161871609087228E-6</v>
      </c>
    </row>
    <row r="690" spans="7:15" x14ac:dyDescent="0.25">
      <c r="G690" s="23">
        <v>41918</v>
      </c>
      <c r="H690" s="22">
        <v>443.05250000000001</v>
      </c>
      <c r="I690">
        <f t="shared" si="20"/>
        <v>3.2218749731893759E-4</v>
      </c>
      <c r="J690" s="23">
        <v>41918</v>
      </c>
      <c r="K690" s="22">
        <v>652.58979999999997</v>
      </c>
      <c r="L690">
        <f t="shared" si="20"/>
        <v>-2.4618901096207235E-4</v>
      </c>
      <c r="M690" s="23">
        <v>41877</v>
      </c>
      <c r="N690" s="22">
        <v>764.47670000000005</v>
      </c>
      <c r="O690">
        <f t="shared" si="21"/>
        <v>4.4475065381632817E-6</v>
      </c>
    </row>
    <row r="691" spans="7:15" x14ac:dyDescent="0.25">
      <c r="G691" s="23">
        <v>41919</v>
      </c>
      <c r="H691" s="22">
        <v>442.99029999999999</v>
      </c>
      <c r="I691">
        <f t="shared" si="20"/>
        <v>-1.4038968293828002E-4</v>
      </c>
      <c r="J691" s="23">
        <v>41919</v>
      </c>
      <c r="K691" s="22">
        <v>652.59040000000005</v>
      </c>
      <c r="L691">
        <f t="shared" si="20"/>
        <v>9.1941369606551859E-7</v>
      </c>
      <c r="M691" s="23">
        <v>41878</v>
      </c>
      <c r="N691" s="22">
        <v>760.11369999999999</v>
      </c>
      <c r="O691">
        <f t="shared" si="21"/>
        <v>-5.7071719779033803E-3</v>
      </c>
    </row>
    <row r="692" spans="7:15" x14ac:dyDescent="0.25">
      <c r="G692" s="23">
        <v>41920</v>
      </c>
      <c r="H692" s="22">
        <v>442.96620000000001</v>
      </c>
      <c r="I692">
        <f t="shared" si="20"/>
        <v>-5.4402997085922777E-5</v>
      </c>
      <c r="J692" s="23">
        <v>41920</v>
      </c>
      <c r="K692" s="22">
        <v>652.44960000000003</v>
      </c>
      <c r="L692">
        <f t="shared" si="20"/>
        <v>-2.1575554896302584E-4</v>
      </c>
      <c r="M692" s="23">
        <v>41879</v>
      </c>
      <c r="N692" s="22">
        <v>760.11490000000003</v>
      </c>
      <c r="O692">
        <f t="shared" si="21"/>
        <v>1.5787111848908353E-6</v>
      </c>
    </row>
    <row r="693" spans="7:15" x14ac:dyDescent="0.25">
      <c r="G693" s="23">
        <v>41921</v>
      </c>
      <c r="H693" s="22">
        <v>442.93029999999999</v>
      </c>
      <c r="I693">
        <f t="shared" si="20"/>
        <v>-8.1044558253084986E-5</v>
      </c>
      <c r="J693" s="23">
        <v>41921</v>
      </c>
      <c r="K693" s="22">
        <v>652.52179999999998</v>
      </c>
      <c r="L693">
        <f t="shared" si="20"/>
        <v>1.1065988851854947E-4</v>
      </c>
      <c r="M693" s="23">
        <v>41880</v>
      </c>
      <c r="N693" s="22">
        <v>761.65610000000004</v>
      </c>
      <c r="O693">
        <f t="shared" si="21"/>
        <v>2.0275881975211352E-3</v>
      </c>
    </row>
    <row r="694" spans="7:15" x14ac:dyDescent="0.25">
      <c r="G694" s="23">
        <v>41922</v>
      </c>
      <c r="H694" s="22">
        <v>442.9332</v>
      </c>
      <c r="I694">
        <f t="shared" si="20"/>
        <v>6.547305524184921E-6</v>
      </c>
      <c r="J694" s="23">
        <v>41922</v>
      </c>
      <c r="K694" s="22">
        <v>652.52229999999997</v>
      </c>
      <c r="L694">
        <f t="shared" si="20"/>
        <v>7.6625792422291283E-7</v>
      </c>
      <c r="M694" s="23">
        <v>41884</v>
      </c>
      <c r="N694" s="22">
        <v>761.6644</v>
      </c>
      <c r="O694">
        <f t="shared" si="21"/>
        <v>1.0897306540247342E-5</v>
      </c>
    </row>
    <row r="695" spans="7:15" x14ac:dyDescent="0.25">
      <c r="G695" s="23">
        <v>41925</v>
      </c>
      <c r="H695" s="22">
        <v>442.9332</v>
      </c>
      <c r="I695">
        <f t="shared" si="20"/>
        <v>0</v>
      </c>
      <c r="J695" s="23">
        <v>41925</v>
      </c>
      <c r="K695" s="22">
        <v>652.52229999999997</v>
      </c>
      <c r="L695">
        <f t="shared" si="20"/>
        <v>0</v>
      </c>
      <c r="M695" s="23">
        <v>41885</v>
      </c>
      <c r="N695" s="22">
        <v>761.66480000000001</v>
      </c>
      <c r="O695">
        <f t="shared" si="21"/>
        <v>5.2516567672356018E-7</v>
      </c>
    </row>
    <row r="696" spans="7:15" x14ac:dyDescent="0.25">
      <c r="G696" s="23">
        <v>41926</v>
      </c>
      <c r="H696" s="22">
        <v>442.90019999999998</v>
      </c>
      <c r="I696">
        <f t="shared" si="20"/>
        <v>-7.4503333685527195E-5</v>
      </c>
      <c r="J696" s="23">
        <v>41926</v>
      </c>
      <c r="K696" s="22">
        <v>652.51400000000001</v>
      </c>
      <c r="L696">
        <f t="shared" si="20"/>
        <v>-1.27198717958521E-5</v>
      </c>
      <c r="M696" s="23">
        <v>41886</v>
      </c>
      <c r="N696" s="22">
        <v>761.75609999999995</v>
      </c>
      <c r="O696">
        <f t="shared" si="21"/>
        <v>1.1986900274241208E-4</v>
      </c>
    </row>
    <row r="697" spans="7:15" x14ac:dyDescent="0.25">
      <c r="G697" s="23">
        <v>41927</v>
      </c>
      <c r="H697" s="22">
        <v>450.45280000000002</v>
      </c>
      <c r="I697">
        <f t="shared" si="20"/>
        <v>1.7052600111718164E-2</v>
      </c>
      <c r="J697" s="23">
        <v>41927</v>
      </c>
      <c r="K697" s="22">
        <v>656.22860000000003</v>
      </c>
      <c r="L697">
        <f t="shared" si="20"/>
        <v>5.6927514198930051E-3</v>
      </c>
      <c r="M697" s="23">
        <v>41887</v>
      </c>
      <c r="N697" s="22">
        <v>761.75630000000001</v>
      </c>
      <c r="O697">
        <f t="shared" si="21"/>
        <v>2.6255122875795678E-7</v>
      </c>
    </row>
    <row r="698" spans="7:15" x14ac:dyDescent="0.25">
      <c r="G698" s="23">
        <v>41928</v>
      </c>
      <c r="H698" s="22">
        <v>460.31880000000001</v>
      </c>
      <c r="I698">
        <f t="shared" si="20"/>
        <v>2.1902405757051602E-2</v>
      </c>
      <c r="J698" s="23">
        <v>41928</v>
      </c>
      <c r="K698" s="22">
        <v>666.50409999999999</v>
      </c>
      <c r="L698">
        <f t="shared" si="20"/>
        <v>1.5658415375373602E-2</v>
      </c>
      <c r="M698" s="23">
        <v>41890</v>
      </c>
      <c r="N698" s="22">
        <v>761.75080000000003</v>
      </c>
      <c r="O698">
        <f t="shared" si="21"/>
        <v>-7.2201568926955062E-6</v>
      </c>
    </row>
    <row r="699" spans="7:15" x14ac:dyDescent="0.25">
      <c r="G699" s="23">
        <v>41929</v>
      </c>
      <c r="H699" s="22">
        <v>460.30239999999998</v>
      </c>
      <c r="I699">
        <f t="shared" si="20"/>
        <v>-3.5627482518729714E-5</v>
      </c>
      <c r="J699" s="23">
        <v>41929</v>
      </c>
      <c r="K699" s="22">
        <v>666.49339999999995</v>
      </c>
      <c r="L699">
        <f t="shared" si="20"/>
        <v>-1.6053914747127251E-5</v>
      </c>
      <c r="M699" s="23">
        <v>41891</v>
      </c>
      <c r="N699" s="22">
        <v>761.75419999999997</v>
      </c>
      <c r="O699">
        <f t="shared" si="21"/>
        <v>4.463401941823264E-6</v>
      </c>
    </row>
    <row r="700" spans="7:15" x14ac:dyDescent="0.25">
      <c r="G700" s="23">
        <v>41932</v>
      </c>
      <c r="H700" s="22">
        <v>460.3057</v>
      </c>
      <c r="I700">
        <f t="shared" si="20"/>
        <v>7.1692000738199368E-6</v>
      </c>
      <c r="J700" s="23">
        <v>41932</v>
      </c>
      <c r="K700" s="22">
        <v>666.56809999999996</v>
      </c>
      <c r="L700">
        <f t="shared" si="20"/>
        <v>1.1207912936583853E-4</v>
      </c>
      <c r="M700" s="23">
        <v>41892</v>
      </c>
      <c r="N700" s="22">
        <v>761.75220000000002</v>
      </c>
      <c r="O700">
        <f t="shared" si="21"/>
        <v>-2.6255188352308778E-6</v>
      </c>
    </row>
    <row r="701" spans="7:15" x14ac:dyDescent="0.25">
      <c r="G701" s="23">
        <v>41933</v>
      </c>
      <c r="H701" s="22">
        <v>460.21839999999997</v>
      </c>
      <c r="I701">
        <f t="shared" si="20"/>
        <v>-1.8965656953640053E-4</v>
      </c>
      <c r="J701" s="23">
        <v>41933</v>
      </c>
      <c r="K701" s="22">
        <v>666.57159999999999</v>
      </c>
      <c r="L701">
        <f t="shared" si="20"/>
        <v>5.2507763272924279E-6</v>
      </c>
      <c r="M701" s="23">
        <v>41893</v>
      </c>
      <c r="N701" s="22">
        <v>761.61429999999996</v>
      </c>
      <c r="O701">
        <f t="shared" si="21"/>
        <v>-1.8102999899449745E-4</v>
      </c>
    </row>
    <row r="702" spans="7:15" x14ac:dyDescent="0.25">
      <c r="G702" s="23">
        <v>41934</v>
      </c>
      <c r="H702" s="22">
        <v>460.16520000000003</v>
      </c>
      <c r="I702">
        <f t="shared" si="20"/>
        <v>-1.1559729032983856E-4</v>
      </c>
      <c r="J702" s="23">
        <v>41934</v>
      </c>
      <c r="K702" s="22">
        <v>666.87329999999997</v>
      </c>
      <c r="L702">
        <f t="shared" si="20"/>
        <v>4.5261454283385127E-4</v>
      </c>
      <c r="M702" s="23">
        <v>41894</v>
      </c>
      <c r="N702" s="22">
        <v>761.6146</v>
      </c>
      <c r="O702">
        <f t="shared" si="21"/>
        <v>3.9390016715046272E-7</v>
      </c>
    </row>
    <row r="703" spans="7:15" x14ac:dyDescent="0.25">
      <c r="G703" s="23">
        <v>41935</v>
      </c>
      <c r="H703" s="22">
        <v>460.24160000000001</v>
      </c>
      <c r="I703">
        <f t="shared" si="20"/>
        <v>1.6602733105419709E-4</v>
      </c>
      <c r="J703" s="23">
        <v>41935</v>
      </c>
      <c r="K703" s="22">
        <v>666.8845</v>
      </c>
      <c r="L703">
        <f t="shared" si="20"/>
        <v>1.6794794453600659E-5</v>
      </c>
      <c r="M703" s="23">
        <v>41897</v>
      </c>
      <c r="N703" s="22">
        <v>782.40689999999995</v>
      </c>
      <c r="O703">
        <f t="shared" si="21"/>
        <v>2.7300290724468823E-2</v>
      </c>
    </row>
    <row r="704" spans="7:15" x14ac:dyDescent="0.25">
      <c r="G704" s="23">
        <v>41936</v>
      </c>
      <c r="H704" s="22">
        <v>460.29289999999997</v>
      </c>
      <c r="I704">
        <f t="shared" si="20"/>
        <v>1.1146319672095117E-4</v>
      </c>
      <c r="J704" s="23">
        <v>41936</v>
      </c>
      <c r="K704" s="22">
        <v>666.81150000000002</v>
      </c>
      <c r="L704">
        <f t="shared" si="20"/>
        <v>-1.0946423256197324E-4</v>
      </c>
      <c r="M704" s="23">
        <v>41898</v>
      </c>
      <c r="N704" s="22">
        <v>782.27639999999997</v>
      </c>
      <c r="O704">
        <f t="shared" si="21"/>
        <v>-1.6679300757693749E-4</v>
      </c>
    </row>
    <row r="705" spans="7:15" x14ac:dyDescent="0.25">
      <c r="G705" s="23">
        <v>41939</v>
      </c>
      <c r="H705" s="22">
        <v>460.38310000000001</v>
      </c>
      <c r="I705">
        <f t="shared" si="20"/>
        <v>1.959621797338329E-4</v>
      </c>
      <c r="J705" s="23">
        <v>41939</v>
      </c>
      <c r="K705" s="22">
        <v>666.8048</v>
      </c>
      <c r="L705">
        <f t="shared" si="20"/>
        <v>-1.0047817111780155E-5</v>
      </c>
      <c r="M705" s="23">
        <v>41899</v>
      </c>
      <c r="N705" s="22">
        <v>782.28009999999995</v>
      </c>
      <c r="O705">
        <f t="shared" si="21"/>
        <v>4.7297860448214379E-6</v>
      </c>
    </row>
    <row r="706" spans="7:15" x14ac:dyDescent="0.25">
      <c r="G706" s="23">
        <v>41940</v>
      </c>
      <c r="H706" s="22">
        <v>460.4615</v>
      </c>
      <c r="I706">
        <f t="shared" si="20"/>
        <v>1.7029295819059875E-4</v>
      </c>
      <c r="J706" s="23">
        <v>41940</v>
      </c>
      <c r="K706" s="22">
        <v>666.80690000000004</v>
      </c>
      <c r="L706">
        <f t="shared" si="20"/>
        <v>3.1493474552668488E-6</v>
      </c>
      <c r="M706" s="23">
        <v>41900</v>
      </c>
      <c r="N706" s="22">
        <v>782.27919999999995</v>
      </c>
      <c r="O706">
        <f t="shared" si="21"/>
        <v>-1.1504830559339041E-6</v>
      </c>
    </row>
    <row r="707" spans="7:15" x14ac:dyDescent="0.25">
      <c r="G707" s="23">
        <v>41941</v>
      </c>
      <c r="H707" s="22">
        <v>461.45979999999997</v>
      </c>
      <c r="I707">
        <f t="shared" si="20"/>
        <v>2.1680422793219911E-3</v>
      </c>
      <c r="J707" s="23">
        <v>41941</v>
      </c>
      <c r="K707" s="22">
        <v>676.40179999999998</v>
      </c>
      <c r="L707">
        <f t="shared" si="20"/>
        <v>1.4389323205863613E-2</v>
      </c>
      <c r="M707" s="23">
        <v>41901</v>
      </c>
      <c r="N707" s="22">
        <v>782.27750000000003</v>
      </c>
      <c r="O707">
        <f t="shared" si="21"/>
        <v>-2.1731371611100059E-6</v>
      </c>
    </row>
    <row r="708" spans="7:15" x14ac:dyDescent="0.25">
      <c r="G708" s="23">
        <v>41942</v>
      </c>
      <c r="H708" s="22">
        <v>461.18270000000001</v>
      </c>
      <c r="I708">
        <f t="shared" ref="I708:L771" si="22">H708/H707-1</f>
        <v>-6.0048567610859749E-4</v>
      </c>
      <c r="J708" s="23">
        <v>41942</v>
      </c>
      <c r="K708" s="22">
        <v>676.17650000000003</v>
      </c>
      <c r="L708">
        <f t="shared" si="22"/>
        <v>-3.3308604441906198E-4</v>
      </c>
      <c r="M708" s="23">
        <v>41904</v>
      </c>
      <c r="N708" s="22">
        <v>782.28030000000001</v>
      </c>
      <c r="O708">
        <f t="shared" ref="O708:O771" si="23">N708/N707-1</f>
        <v>3.5792925143773857E-6</v>
      </c>
    </row>
    <row r="709" spans="7:15" x14ac:dyDescent="0.25">
      <c r="G709" s="23">
        <v>41943</v>
      </c>
      <c r="H709" s="22">
        <v>461.71620000000001</v>
      </c>
      <c r="I709">
        <f t="shared" si="22"/>
        <v>1.1568083538260332E-3</v>
      </c>
      <c r="J709" s="23">
        <v>41943</v>
      </c>
      <c r="K709" s="22">
        <v>676.89449999999999</v>
      </c>
      <c r="L709">
        <f t="shared" si="22"/>
        <v>1.0618529333685789E-3</v>
      </c>
      <c r="M709" s="23">
        <v>41905</v>
      </c>
      <c r="N709" s="22">
        <v>782.28219999999999</v>
      </c>
      <c r="O709">
        <f t="shared" si="23"/>
        <v>2.4287969413450128E-6</v>
      </c>
    </row>
    <row r="710" spans="7:15" x14ac:dyDescent="0.25">
      <c r="G710" s="23">
        <v>41946</v>
      </c>
      <c r="H710" s="22">
        <v>461.7165</v>
      </c>
      <c r="I710">
        <f t="shared" si="22"/>
        <v>6.4974978131182581E-7</v>
      </c>
      <c r="J710" s="23">
        <v>41946</v>
      </c>
      <c r="K710" s="22">
        <v>676.87959999999998</v>
      </c>
      <c r="L710">
        <f t="shared" si="22"/>
        <v>-2.2012292905326802E-5</v>
      </c>
      <c r="M710" s="23">
        <v>41906</v>
      </c>
      <c r="N710" s="22">
        <v>782.28200000000004</v>
      </c>
      <c r="O710">
        <f t="shared" si="23"/>
        <v>-2.5566221495409991E-7</v>
      </c>
    </row>
    <row r="711" spans="7:15" x14ac:dyDescent="0.25">
      <c r="G711" s="23">
        <v>41947</v>
      </c>
      <c r="H711" s="22">
        <v>461.7165</v>
      </c>
      <c r="I711">
        <f t="shared" si="22"/>
        <v>0</v>
      </c>
      <c r="J711" s="23">
        <v>41947</v>
      </c>
      <c r="K711" s="22">
        <v>676.86760000000004</v>
      </c>
      <c r="L711">
        <f t="shared" si="22"/>
        <v>-1.772841137470671E-5</v>
      </c>
      <c r="M711" s="23">
        <v>41907</v>
      </c>
      <c r="N711" s="22">
        <v>782.28570000000002</v>
      </c>
      <c r="O711">
        <f t="shared" si="23"/>
        <v>4.7297521865719006E-6</v>
      </c>
    </row>
    <row r="712" spans="7:15" x14ac:dyDescent="0.25">
      <c r="G712" s="23">
        <v>41948</v>
      </c>
      <c r="H712" s="22">
        <v>461.73149999999998</v>
      </c>
      <c r="I712">
        <f t="shared" si="22"/>
        <v>3.248746795914137E-5</v>
      </c>
      <c r="J712" s="23">
        <v>41948</v>
      </c>
      <c r="K712" s="22">
        <v>676.78030000000001</v>
      </c>
      <c r="L712">
        <f t="shared" si="22"/>
        <v>-1.2897647929965839E-4</v>
      </c>
      <c r="M712" s="23">
        <v>41908</v>
      </c>
      <c r="N712" s="22">
        <v>782.28830000000005</v>
      </c>
      <c r="O712">
        <f t="shared" si="23"/>
        <v>3.3235939249642854E-6</v>
      </c>
    </row>
    <row r="713" spans="7:15" x14ac:dyDescent="0.25">
      <c r="G713" s="23">
        <v>41949</v>
      </c>
      <c r="H713" s="22">
        <v>461.52429999999998</v>
      </c>
      <c r="I713">
        <f t="shared" si="22"/>
        <v>-4.4874564546715234E-4</v>
      </c>
      <c r="J713" s="23">
        <v>41949</v>
      </c>
      <c r="K713" s="22">
        <v>676.71969999999999</v>
      </c>
      <c r="L713">
        <f t="shared" si="22"/>
        <v>-8.9541613430554889E-5</v>
      </c>
      <c r="M713" s="23">
        <v>41911</v>
      </c>
      <c r="N713" s="22">
        <v>782.29</v>
      </c>
      <c r="O713">
        <f t="shared" si="23"/>
        <v>2.173111881997869E-6</v>
      </c>
    </row>
    <row r="714" spans="7:15" x14ac:dyDescent="0.25">
      <c r="G714" s="23">
        <v>41950</v>
      </c>
      <c r="H714" s="22">
        <v>461.56599999999997</v>
      </c>
      <c r="I714">
        <f t="shared" si="22"/>
        <v>9.0352772324164832E-5</v>
      </c>
      <c r="J714" s="23">
        <v>41950</v>
      </c>
      <c r="K714" s="22">
        <v>676.54549999999995</v>
      </c>
      <c r="L714">
        <f t="shared" si="22"/>
        <v>-2.5741824864866647E-4</v>
      </c>
      <c r="M714" s="23">
        <v>41912</v>
      </c>
      <c r="N714" s="22">
        <v>783.19809999999995</v>
      </c>
      <c r="O714">
        <f t="shared" si="23"/>
        <v>1.1608227128045989E-3</v>
      </c>
    </row>
    <row r="715" spans="7:15" x14ac:dyDescent="0.25">
      <c r="G715" s="23">
        <v>41953</v>
      </c>
      <c r="H715" s="22">
        <v>461.56549999999999</v>
      </c>
      <c r="I715">
        <f t="shared" si="22"/>
        <v>-1.0832686982986672E-6</v>
      </c>
      <c r="J715" s="23">
        <v>41953</v>
      </c>
      <c r="K715" s="22">
        <v>676.54250000000002</v>
      </c>
      <c r="L715">
        <f t="shared" si="22"/>
        <v>-4.4342915590522836E-6</v>
      </c>
      <c r="M715" s="23">
        <v>41913</v>
      </c>
      <c r="N715" s="22">
        <v>783.19960000000003</v>
      </c>
      <c r="O715">
        <f t="shared" si="23"/>
        <v>1.9152242580755541E-6</v>
      </c>
    </row>
    <row r="716" spans="7:15" x14ac:dyDescent="0.25">
      <c r="G716" s="23">
        <v>41954</v>
      </c>
      <c r="H716" s="22">
        <v>461.56549999999999</v>
      </c>
      <c r="I716">
        <f t="shared" si="22"/>
        <v>0</v>
      </c>
      <c r="J716" s="23">
        <v>41954</v>
      </c>
      <c r="K716" s="22">
        <v>676.54250000000002</v>
      </c>
      <c r="L716">
        <f t="shared" si="22"/>
        <v>0</v>
      </c>
      <c r="M716" s="23">
        <v>41914</v>
      </c>
      <c r="N716" s="22">
        <v>783.20060000000001</v>
      </c>
      <c r="O716">
        <f t="shared" si="23"/>
        <v>1.2768137267471502E-6</v>
      </c>
    </row>
    <row r="717" spans="7:15" x14ac:dyDescent="0.25">
      <c r="G717" s="23">
        <v>41955</v>
      </c>
      <c r="H717" s="22">
        <v>461.56909999999999</v>
      </c>
      <c r="I717">
        <f t="shared" si="22"/>
        <v>7.7995430767252572E-6</v>
      </c>
      <c r="J717" s="23">
        <v>41955</v>
      </c>
      <c r="K717" s="22">
        <v>676.55110000000002</v>
      </c>
      <c r="L717">
        <f t="shared" si="22"/>
        <v>1.2711692170208622E-5</v>
      </c>
      <c r="M717" s="23">
        <v>41915</v>
      </c>
      <c r="N717" s="22">
        <v>783.31150000000002</v>
      </c>
      <c r="O717">
        <f t="shared" si="23"/>
        <v>1.4159846149253141E-4</v>
      </c>
    </row>
    <row r="718" spans="7:15" x14ac:dyDescent="0.25">
      <c r="G718" s="23">
        <v>41957</v>
      </c>
      <c r="H718" s="22">
        <v>455.31950000000001</v>
      </c>
      <c r="I718">
        <f t="shared" si="22"/>
        <v>-1.3539901176226943E-2</v>
      </c>
      <c r="J718" s="23">
        <v>41957</v>
      </c>
      <c r="K718" s="22">
        <v>666.77139999999997</v>
      </c>
      <c r="L718">
        <f t="shared" si="22"/>
        <v>-1.4455227402630833E-2</v>
      </c>
      <c r="M718" s="23">
        <v>41918</v>
      </c>
      <c r="N718" s="22">
        <v>783.2373</v>
      </c>
      <c r="O718">
        <f t="shared" si="23"/>
        <v>-9.4726044491899586E-5</v>
      </c>
    </row>
    <row r="719" spans="7:15" x14ac:dyDescent="0.25">
      <c r="G719" s="23">
        <v>41960</v>
      </c>
      <c r="H719" s="22">
        <v>455.32729999999998</v>
      </c>
      <c r="I719">
        <f t="shared" si="22"/>
        <v>1.7130827913103275E-5</v>
      </c>
      <c r="J719" s="23">
        <v>41960</v>
      </c>
      <c r="K719" s="22">
        <v>666.76710000000003</v>
      </c>
      <c r="L719">
        <f t="shared" si="22"/>
        <v>-6.4489868640826842E-6</v>
      </c>
      <c r="M719" s="23">
        <v>41919</v>
      </c>
      <c r="N719" s="22">
        <v>783.23800000000006</v>
      </c>
      <c r="O719">
        <f t="shared" si="23"/>
        <v>8.9372658851338826E-7</v>
      </c>
    </row>
    <row r="720" spans="7:15" x14ac:dyDescent="0.25">
      <c r="G720" s="23">
        <v>41961</v>
      </c>
      <c r="H720" s="22">
        <v>455.33479999999997</v>
      </c>
      <c r="I720">
        <f t="shared" si="22"/>
        <v>1.6471667743100937E-5</v>
      </c>
      <c r="J720" s="23">
        <v>41961</v>
      </c>
      <c r="K720" s="22">
        <v>666.85490000000004</v>
      </c>
      <c r="L720">
        <f t="shared" si="22"/>
        <v>1.3168016238362945E-4</v>
      </c>
      <c r="M720" s="23">
        <v>41920</v>
      </c>
      <c r="N720" s="22">
        <v>783.22709999999995</v>
      </c>
      <c r="O720">
        <f t="shared" si="23"/>
        <v>-1.3916587295437211E-5</v>
      </c>
    </row>
    <row r="721" spans="7:15" x14ac:dyDescent="0.25">
      <c r="G721" s="23">
        <v>41962</v>
      </c>
      <c r="H721" s="22">
        <v>455.33679999999998</v>
      </c>
      <c r="I721">
        <f t="shared" si="22"/>
        <v>4.3923723818117821E-6</v>
      </c>
      <c r="J721" s="23">
        <v>41962</v>
      </c>
      <c r="K721" s="22">
        <v>666.84720000000004</v>
      </c>
      <c r="L721">
        <f t="shared" si="22"/>
        <v>-1.1546739777990034E-5</v>
      </c>
      <c r="M721" s="23">
        <v>41921</v>
      </c>
      <c r="N721" s="22">
        <v>783.21590000000003</v>
      </c>
      <c r="O721">
        <f t="shared" si="23"/>
        <v>-1.429981163814098E-5</v>
      </c>
    </row>
    <row r="722" spans="7:15" x14ac:dyDescent="0.25">
      <c r="G722" s="23">
        <v>41963</v>
      </c>
      <c r="H722" s="22">
        <v>455.1866</v>
      </c>
      <c r="I722">
        <f t="shared" si="22"/>
        <v>-3.2986571698134792E-4</v>
      </c>
      <c r="J722" s="23">
        <v>41963</v>
      </c>
      <c r="K722" s="22">
        <v>666.77200000000005</v>
      </c>
      <c r="L722">
        <f t="shared" si="22"/>
        <v>-1.1276946202964933E-4</v>
      </c>
      <c r="M722" s="23">
        <v>41922</v>
      </c>
      <c r="N722" s="22">
        <v>783.22469999999998</v>
      </c>
      <c r="O722">
        <f t="shared" si="23"/>
        <v>1.1235726955938219E-5</v>
      </c>
    </row>
    <row r="723" spans="7:15" x14ac:dyDescent="0.25">
      <c r="G723" s="23">
        <v>41964</v>
      </c>
      <c r="H723" s="22">
        <v>455.36759999999998</v>
      </c>
      <c r="I723">
        <f t="shared" si="22"/>
        <v>3.9763912206547403E-4</v>
      </c>
      <c r="J723" s="23">
        <v>41964</v>
      </c>
      <c r="K723" s="22">
        <v>666.81679999999994</v>
      </c>
      <c r="L723">
        <f t="shared" si="22"/>
        <v>6.7189384077126491E-5</v>
      </c>
      <c r="M723" s="23">
        <v>41926</v>
      </c>
      <c r="N723" s="22">
        <v>783.2405</v>
      </c>
      <c r="O723">
        <f t="shared" si="23"/>
        <v>2.0173010376156597E-5</v>
      </c>
    </row>
    <row r="724" spans="7:15" x14ac:dyDescent="0.25">
      <c r="G724" s="23">
        <v>41967</v>
      </c>
      <c r="H724" s="22">
        <v>455.31330000000003</v>
      </c>
      <c r="I724">
        <f t="shared" si="22"/>
        <v>-1.192443204126592E-4</v>
      </c>
      <c r="J724" s="23">
        <v>41967</v>
      </c>
      <c r="K724" s="22">
        <v>666.7645</v>
      </c>
      <c r="L724">
        <f t="shared" si="22"/>
        <v>-7.843233703763719E-5</v>
      </c>
      <c r="M724" s="23">
        <v>41927</v>
      </c>
      <c r="N724" s="22">
        <v>789.32050000000004</v>
      </c>
      <c r="O724">
        <f t="shared" si="23"/>
        <v>7.7626220809572377E-3</v>
      </c>
    </row>
    <row r="725" spans="7:15" x14ac:dyDescent="0.25">
      <c r="G725" s="23">
        <v>41968</v>
      </c>
      <c r="H725" s="22">
        <v>452.92689999999999</v>
      </c>
      <c r="I725">
        <f t="shared" si="22"/>
        <v>-5.2412262062189185E-3</v>
      </c>
      <c r="J725" s="23">
        <v>41968</v>
      </c>
      <c r="K725" s="22">
        <v>664.74199999999996</v>
      </c>
      <c r="L725">
        <f t="shared" si="22"/>
        <v>-3.0333048625115211E-3</v>
      </c>
      <c r="M725" s="23">
        <v>41928</v>
      </c>
      <c r="N725" s="22">
        <v>805.11239999999998</v>
      </c>
      <c r="O725">
        <f t="shared" si="23"/>
        <v>2.0006955349569644E-2</v>
      </c>
    </row>
    <row r="726" spans="7:15" x14ac:dyDescent="0.25">
      <c r="G726" s="23">
        <v>41969</v>
      </c>
      <c r="H726" s="22">
        <v>452.83980000000003</v>
      </c>
      <c r="I726">
        <f t="shared" si="22"/>
        <v>-1.9230476264486818E-4</v>
      </c>
      <c r="J726" s="23">
        <v>41969</v>
      </c>
      <c r="K726" s="22">
        <v>664.54160000000002</v>
      </c>
      <c r="L726">
        <f t="shared" si="22"/>
        <v>-3.0147034488559044E-4</v>
      </c>
      <c r="M726" s="23">
        <v>41929</v>
      </c>
      <c r="N726" s="22">
        <v>805.11760000000004</v>
      </c>
      <c r="O726">
        <f t="shared" si="23"/>
        <v>6.4587255146353328E-6</v>
      </c>
    </row>
    <row r="727" spans="7:15" x14ac:dyDescent="0.25">
      <c r="G727" s="23">
        <v>41970</v>
      </c>
      <c r="H727" s="22">
        <v>452.83980000000003</v>
      </c>
      <c r="I727">
        <f t="shared" si="22"/>
        <v>0</v>
      </c>
      <c r="J727" s="23">
        <v>41970</v>
      </c>
      <c r="K727" s="22">
        <v>664.54160000000002</v>
      </c>
      <c r="L727">
        <f t="shared" si="22"/>
        <v>0</v>
      </c>
      <c r="M727" s="23">
        <v>41932</v>
      </c>
      <c r="N727" s="22">
        <v>804.80430000000001</v>
      </c>
      <c r="O727">
        <f t="shared" si="23"/>
        <v>-3.8913569893395117E-4</v>
      </c>
    </row>
    <row r="728" spans="7:15" x14ac:dyDescent="0.25">
      <c r="G728" s="23">
        <v>41971</v>
      </c>
      <c r="H728" s="22">
        <v>452.8623</v>
      </c>
      <c r="I728">
        <f t="shared" si="22"/>
        <v>4.9686445405150437E-5</v>
      </c>
      <c r="J728" s="23">
        <v>41971</v>
      </c>
      <c r="K728" s="22">
        <v>665.33879999999999</v>
      </c>
      <c r="L728">
        <f t="shared" si="22"/>
        <v>1.1996239212113124E-3</v>
      </c>
      <c r="M728" s="23">
        <v>41933</v>
      </c>
      <c r="N728" s="22">
        <v>804.81259999999997</v>
      </c>
      <c r="O728">
        <f t="shared" si="23"/>
        <v>1.0313066170164475E-5</v>
      </c>
    </row>
    <row r="729" spans="7:15" x14ac:dyDescent="0.25">
      <c r="G729" s="23">
        <v>41974</v>
      </c>
      <c r="H729" s="22">
        <v>452.863</v>
      </c>
      <c r="I729">
        <f t="shared" si="22"/>
        <v>1.5457237221294662E-6</v>
      </c>
      <c r="J729" s="23">
        <v>41974</v>
      </c>
      <c r="K729" s="22">
        <v>665.34349999999995</v>
      </c>
      <c r="L729">
        <f t="shared" si="22"/>
        <v>7.06407021500155E-6</v>
      </c>
      <c r="M729" s="23">
        <v>41934</v>
      </c>
      <c r="N729" s="22">
        <v>804.81669999999997</v>
      </c>
      <c r="O729">
        <f t="shared" si="23"/>
        <v>5.0943536420433588E-6</v>
      </c>
    </row>
    <row r="730" spans="7:15" x14ac:dyDescent="0.25">
      <c r="G730" s="23">
        <v>41975</v>
      </c>
      <c r="H730" s="22">
        <v>452.86270000000002</v>
      </c>
      <c r="I730">
        <f t="shared" si="22"/>
        <v>-6.6245199981107561E-7</v>
      </c>
      <c r="J730" s="23">
        <v>41975</v>
      </c>
      <c r="K730" s="22">
        <v>665.32989999999995</v>
      </c>
      <c r="L730">
        <f t="shared" si="22"/>
        <v>-2.0440569420188126E-5</v>
      </c>
      <c r="M730" s="23">
        <v>41935</v>
      </c>
      <c r="N730" s="22">
        <v>804.81179999999995</v>
      </c>
      <c r="O730">
        <f t="shared" si="23"/>
        <v>-6.088342848764583E-6</v>
      </c>
    </row>
    <row r="731" spans="7:15" x14ac:dyDescent="0.25">
      <c r="G731" s="23">
        <v>41976</v>
      </c>
      <c r="H731" s="22">
        <v>452.86270000000002</v>
      </c>
      <c r="I731">
        <f t="shared" si="22"/>
        <v>0</v>
      </c>
      <c r="J731" s="23">
        <v>41976</v>
      </c>
      <c r="K731" s="22">
        <v>665.32989999999995</v>
      </c>
      <c r="L731">
        <f t="shared" si="22"/>
        <v>0</v>
      </c>
      <c r="M731" s="23">
        <v>41936</v>
      </c>
      <c r="N731" s="22">
        <v>804.82669999999996</v>
      </c>
      <c r="O731">
        <f t="shared" si="23"/>
        <v>1.8513645053452876E-5</v>
      </c>
    </row>
    <row r="732" spans="7:15" x14ac:dyDescent="0.25">
      <c r="G732" s="23">
        <v>41977</v>
      </c>
      <c r="H732" s="22">
        <v>453.19990000000001</v>
      </c>
      <c r="I732">
        <f t="shared" si="22"/>
        <v>7.4459654107084106E-4</v>
      </c>
      <c r="J732" s="23">
        <v>41977</v>
      </c>
      <c r="K732" s="22">
        <v>664.45370000000003</v>
      </c>
      <c r="L732">
        <f t="shared" si="22"/>
        <v>-1.3169406635714642E-3</v>
      </c>
      <c r="M732" s="23">
        <v>41939</v>
      </c>
      <c r="N732" s="22">
        <v>804.82069999999999</v>
      </c>
      <c r="O732">
        <f t="shared" si="23"/>
        <v>-7.4550210622525981E-6</v>
      </c>
    </row>
    <row r="733" spans="7:15" x14ac:dyDescent="0.25">
      <c r="G733" s="23">
        <v>41978</v>
      </c>
      <c r="H733" s="22">
        <v>453.1807</v>
      </c>
      <c r="I733">
        <f t="shared" si="22"/>
        <v>-4.2365410936828773E-5</v>
      </c>
      <c r="J733" s="23">
        <v>41978</v>
      </c>
      <c r="K733" s="22">
        <v>664.35730000000001</v>
      </c>
      <c r="L733">
        <f t="shared" si="22"/>
        <v>-1.4508159108761465E-4</v>
      </c>
      <c r="M733" s="23">
        <v>41940</v>
      </c>
      <c r="N733" s="22">
        <v>804.82380000000001</v>
      </c>
      <c r="O733">
        <f t="shared" si="23"/>
        <v>3.8517895972756122E-6</v>
      </c>
    </row>
    <row r="734" spans="7:15" x14ac:dyDescent="0.25">
      <c r="G734" s="23">
        <v>41981</v>
      </c>
      <c r="H734" s="22">
        <v>453.0025</v>
      </c>
      <c r="I734">
        <f t="shared" si="22"/>
        <v>-3.9322062921043344E-4</v>
      </c>
      <c r="J734" s="23">
        <v>41981</v>
      </c>
      <c r="K734" s="22">
        <v>664.33029999999997</v>
      </c>
      <c r="L734">
        <f t="shared" si="22"/>
        <v>-4.0640781699963213E-5</v>
      </c>
      <c r="M734" s="23">
        <v>41941</v>
      </c>
      <c r="N734" s="22">
        <v>805.41039999999998</v>
      </c>
      <c r="O734">
        <f t="shared" si="23"/>
        <v>7.2885518544563155E-4</v>
      </c>
    </row>
    <row r="735" spans="7:15" x14ac:dyDescent="0.25">
      <c r="G735" s="23">
        <v>41982</v>
      </c>
      <c r="H735" s="22">
        <v>452.99450000000002</v>
      </c>
      <c r="I735">
        <f t="shared" si="22"/>
        <v>-1.7659946689008166E-5</v>
      </c>
      <c r="J735" s="23">
        <v>41982</v>
      </c>
      <c r="K735" s="22">
        <v>664.3338</v>
      </c>
      <c r="L735">
        <f t="shared" si="22"/>
        <v>5.2684635940547508E-6</v>
      </c>
      <c r="M735" s="23">
        <v>41942</v>
      </c>
      <c r="N735" s="22">
        <v>805.41830000000004</v>
      </c>
      <c r="O735">
        <f t="shared" si="23"/>
        <v>9.8086640054617646E-6</v>
      </c>
    </row>
    <row r="736" spans="7:15" x14ac:dyDescent="0.25">
      <c r="G736" s="23">
        <v>41983</v>
      </c>
      <c r="H736" s="22">
        <v>452.9973</v>
      </c>
      <c r="I736">
        <f t="shared" si="22"/>
        <v>6.1810904987691373E-6</v>
      </c>
      <c r="J736" s="23">
        <v>41983</v>
      </c>
      <c r="K736" s="22">
        <v>664.19799999999998</v>
      </c>
      <c r="L736">
        <f t="shared" si="22"/>
        <v>-2.0441531049608663E-4</v>
      </c>
      <c r="M736" s="23">
        <v>41943</v>
      </c>
      <c r="N736" s="22">
        <v>806.13679999999999</v>
      </c>
      <c r="O736">
        <f t="shared" si="23"/>
        <v>8.920830331269336E-4</v>
      </c>
    </row>
    <row r="737" spans="7:15" x14ac:dyDescent="0.25">
      <c r="G737" s="23">
        <v>41984</v>
      </c>
      <c r="H737" s="22">
        <v>452.99829999999997</v>
      </c>
      <c r="I737">
        <f t="shared" si="22"/>
        <v>2.2075186760783794E-6</v>
      </c>
      <c r="J737" s="23">
        <v>41984</v>
      </c>
      <c r="K737" s="22">
        <v>667.03099999999995</v>
      </c>
      <c r="L737">
        <f t="shared" si="22"/>
        <v>4.2652943851080316E-3</v>
      </c>
      <c r="M737" s="23">
        <v>41946</v>
      </c>
      <c r="N737" s="22">
        <v>806.12819999999999</v>
      </c>
      <c r="O737">
        <f t="shared" si="23"/>
        <v>-1.0668164510008182E-5</v>
      </c>
    </row>
    <row r="738" spans="7:15" x14ac:dyDescent="0.25">
      <c r="G738" s="23">
        <v>41985</v>
      </c>
      <c r="H738" s="22">
        <v>453.18380000000002</v>
      </c>
      <c r="I738">
        <f t="shared" si="22"/>
        <v>4.0949381046262445E-4</v>
      </c>
      <c r="J738" s="23">
        <v>41985</v>
      </c>
      <c r="K738" s="22">
        <v>667.12159999999994</v>
      </c>
      <c r="L738">
        <f t="shared" si="22"/>
        <v>1.3582577121606931E-4</v>
      </c>
      <c r="M738" s="23">
        <v>41947</v>
      </c>
      <c r="N738" s="22">
        <v>806.12019999999995</v>
      </c>
      <c r="O738">
        <f t="shared" si="23"/>
        <v>-9.9239798335704066E-6</v>
      </c>
    </row>
    <row r="739" spans="7:15" x14ac:dyDescent="0.25">
      <c r="G739" s="23">
        <v>41988</v>
      </c>
      <c r="H739" s="22">
        <v>453.16719999999998</v>
      </c>
      <c r="I739">
        <f t="shared" si="22"/>
        <v>-3.6629729482928752E-5</v>
      </c>
      <c r="J739" s="23">
        <v>41988</v>
      </c>
      <c r="K739" s="22">
        <v>667.15480000000002</v>
      </c>
      <c r="L739">
        <f t="shared" si="22"/>
        <v>4.9766039654564054E-5</v>
      </c>
      <c r="M739" s="23">
        <v>41948</v>
      </c>
      <c r="N739" s="22">
        <v>806.11490000000003</v>
      </c>
      <c r="O739">
        <f t="shared" si="23"/>
        <v>-6.5747018868078655E-6</v>
      </c>
    </row>
    <row r="740" spans="7:15" x14ac:dyDescent="0.25">
      <c r="G740" s="23">
        <v>41989</v>
      </c>
      <c r="H740" s="22">
        <v>457.31200000000001</v>
      </c>
      <c r="I740">
        <f t="shared" si="22"/>
        <v>9.1462930238552786E-3</v>
      </c>
      <c r="J740" s="23">
        <v>41989</v>
      </c>
      <c r="K740" s="22">
        <v>675.97460000000001</v>
      </c>
      <c r="L740">
        <f t="shared" si="22"/>
        <v>1.3220020301135449E-2</v>
      </c>
      <c r="M740" s="23">
        <v>41949</v>
      </c>
      <c r="N740" s="22">
        <v>806.17700000000002</v>
      </c>
      <c r="O740">
        <f t="shared" si="23"/>
        <v>7.7036164447541466E-5</v>
      </c>
    </row>
    <row r="741" spans="7:15" x14ac:dyDescent="0.25">
      <c r="G741" s="23">
        <v>41990</v>
      </c>
      <c r="H741" s="22">
        <v>457.4513</v>
      </c>
      <c r="I741">
        <f t="shared" si="22"/>
        <v>3.0460604576298955E-4</v>
      </c>
      <c r="J741" s="23">
        <v>41990</v>
      </c>
      <c r="K741" s="22">
        <v>675.8125</v>
      </c>
      <c r="L741">
        <f t="shared" si="22"/>
        <v>-2.3980190971673032E-4</v>
      </c>
      <c r="M741" s="23">
        <v>41950</v>
      </c>
      <c r="N741" s="22">
        <v>806.65369999999996</v>
      </c>
      <c r="O741">
        <f t="shared" si="23"/>
        <v>5.9130935266060725E-4</v>
      </c>
    </row>
    <row r="742" spans="7:15" x14ac:dyDescent="0.25">
      <c r="G742" s="23">
        <v>41991</v>
      </c>
      <c r="H742" s="22">
        <v>459.00439999999998</v>
      </c>
      <c r="I742">
        <f t="shared" si="22"/>
        <v>3.3951155019122936E-3</v>
      </c>
      <c r="J742" s="23">
        <v>41991</v>
      </c>
      <c r="K742" s="22">
        <v>677.61320000000001</v>
      </c>
      <c r="L742">
        <f t="shared" si="22"/>
        <v>2.6644964394710868E-3</v>
      </c>
      <c r="M742" s="23">
        <v>41953</v>
      </c>
      <c r="N742" s="22">
        <v>806.64649999999995</v>
      </c>
      <c r="O742">
        <f t="shared" si="23"/>
        <v>-8.9257633107964196E-6</v>
      </c>
    </row>
    <row r="743" spans="7:15" x14ac:dyDescent="0.25">
      <c r="G743" s="23">
        <v>41992</v>
      </c>
      <c r="H743" s="22">
        <v>459.08909999999997</v>
      </c>
      <c r="I743">
        <f t="shared" si="22"/>
        <v>1.8452982150063413E-4</v>
      </c>
      <c r="J743" s="23">
        <v>41992</v>
      </c>
      <c r="K743" s="22">
        <v>677.68870000000004</v>
      </c>
      <c r="L743">
        <f t="shared" si="22"/>
        <v>1.114204977117339E-4</v>
      </c>
      <c r="M743" s="23">
        <v>41955</v>
      </c>
      <c r="N743" s="22">
        <v>806.61</v>
      </c>
      <c r="O743">
        <f t="shared" si="23"/>
        <v>-4.52490651108306E-5</v>
      </c>
    </row>
    <row r="744" spans="7:15" x14ac:dyDescent="0.25">
      <c r="G744" s="23">
        <v>41995</v>
      </c>
      <c r="H744" s="22">
        <v>459.13040000000001</v>
      </c>
      <c r="I744">
        <f t="shared" si="22"/>
        <v>8.9960750538464751E-5</v>
      </c>
      <c r="J744" s="23">
        <v>41995</v>
      </c>
      <c r="K744" s="22">
        <v>677.73</v>
      </c>
      <c r="L744">
        <f t="shared" si="22"/>
        <v>6.0942435663902117E-5</v>
      </c>
      <c r="M744" s="23">
        <v>41956</v>
      </c>
      <c r="N744" s="22">
        <v>806.61289999999997</v>
      </c>
      <c r="O744">
        <f t="shared" si="23"/>
        <v>3.5952938841621318E-6</v>
      </c>
    </row>
    <row r="745" spans="7:15" x14ac:dyDescent="0.25">
      <c r="G745" s="23">
        <v>41996</v>
      </c>
      <c r="H745" s="22">
        <v>459.13170000000002</v>
      </c>
      <c r="I745">
        <f t="shared" si="22"/>
        <v>2.8314396085526994E-6</v>
      </c>
      <c r="J745" s="23">
        <v>41996</v>
      </c>
      <c r="K745" s="22">
        <v>677.72529999999995</v>
      </c>
      <c r="L745">
        <f t="shared" si="22"/>
        <v>-6.9349150843001084E-6</v>
      </c>
      <c r="M745" s="23">
        <v>41957</v>
      </c>
      <c r="N745" s="22">
        <v>799.21839999999997</v>
      </c>
      <c r="O745">
        <f t="shared" si="23"/>
        <v>-9.1673465673559607E-3</v>
      </c>
    </row>
    <row r="746" spans="7:15" x14ac:dyDescent="0.25">
      <c r="G746" s="23">
        <v>41997</v>
      </c>
      <c r="H746" s="22">
        <v>459.1343</v>
      </c>
      <c r="I746">
        <f t="shared" si="22"/>
        <v>5.6628631828203879E-6</v>
      </c>
      <c r="J746" s="23">
        <v>41997</v>
      </c>
      <c r="K746" s="22">
        <v>677.73310000000004</v>
      </c>
      <c r="L746">
        <f t="shared" si="22"/>
        <v>1.1509087826766518E-5</v>
      </c>
      <c r="M746" s="23">
        <v>41960</v>
      </c>
      <c r="N746" s="22">
        <v>799.19719999999995</v>
      </c>
      <c r="O746">
        <f t="shared" si="23"/>
        <v>-2.6525915819752832E-5</v>
      </c>
    </row>
    <row r="747" spans="7:15" x14ac:dyDescent="0.25">
      <c r="G747" s="23">
        <v>41998</v>
      </c>
      <c r="H747" s="22">
        <v>459.1343</v>
      </c>
      <c r="I747">
        <f t="shared" si="22"/>
        <v>0</v>
      </c>
      <c r="J747" s="23">
        <v>41998</v>
      </c>
      <c r="K747" s="22">
        <v>677.73310000000004</v>
      </c>
      <c r="L747">
        <f t="shared" si="22"/>
        <v>0</v>
      </c>
      <c r="M747" s="23">
        <v>41961</v>
      </c>
      <c r="N747" s="22">
        <v>799.20180000000005</v>
      </c>
      <c r="O747">
        <f t="shared" si="23"/>
        <v>5.7557759212123472E-6</v>
      </c>
    </row>
    <row r="748" spans="7:15" x14ac:dyDescent="0.25">
      <c r="G748" s="23">
        <v>41999</v>
      </c>
      <c r="H748" s="22">
        <v>459.13670000000002</v>
      </c>
      <c r="I748">
        <f t="shared" si="22"/>
        <v>5.2272287216492686E-6</v>
      </c>
      <c r="J748" s="23">
        <v>41999</v>
      </c>
      <c r="K748" s="22">
        <v>677.73689999999999</v>
      </c>
      <c r="L748">
        <f t="shared" si="22"/>
        <v>5.606926974488502E-6</v>
      </c>
      <c r="M748" s="23">
        <v>41962</v>
      </c>
      <c r="N748" s="22">
        <v>799.09990000000005</v>
      </c>
      <c r="O748">
        <f t="shared" si="23"/>
        <v>-1.275022153353067E-4</v>
      </c>
    </row>
    <row r="749" spans="7:15" x14ac:dyDescent="0.25">
      <c r="G749" s="23">
        <v>42002</v>
      </c>
      <c r="H749" s="22">
        <v>459.14100000000002</v>
      </c>
      <c r="I749">
        <f t="shared" si="22"/>
        <v>9.3654025044020983E-6</v>
      </c>
      <c r="J749" s="23">
        <v>42002</v>
      </c>
      <c r="K749" s="22">
        <v>677.74379999999996</v>
      </c>
      <c r="L749">
        <f t="shared" si="22"/>
        <v>1.0180941896420492E-5</v>
      </c>
      <c r="M749" s="23">
        <v>41963</v>
      </c>
      <c r="N749" s="22">
        <v>799.09519999999998</v>
      </c>
      <c r="O749">
        <f t="shared" si="23"/>
        <v>-5.8816175549925021E-6</v>
      </c>
    </row>
    <row r="750" spans="7:15" x14ac:dyDescent="0.25">
      <c r="G750" s="23">
        <v>42003</v>
      </c>
      <c r="H750" s="22">
        <v>459.12419999999997</v>
      </c>
      <c r="I750">
        <f t="shared" si="22"/>
        <v>-3.6590067103658974E-5</v>
      </c>
      <c r="J750" s="23">
        <v>42003</v>
      </c>
      <c r="K750" s="22">
        <v>677.74760000000003</v>
      </c>
      <c r="L750">
        <f t="shared" si="22"/>
        <v>5.6068384544083472E-6</v>
      </c>
      <c r="M750" s="23">
        <v>41964</v>
      </c>
      <c r="N750" s="22">
        <v>799.10270000000003</v>
      </c>
      <c r="O750">
        <f t="shared" si="23"/>
        <v>9.385615130863556E-6</v>
      </c>
    </row>
    <row r="751" spans="7:15" x14ac:dyDescent="0.25">
      <c r="G751" s="23">
        <v>42004</v>
      </c>
      <c r="H751" s="22">
        <v>460.50060000000002</v>
      </c>
      <c r="I751">
        <f t="shared" si="22"/>
        <v>2.9978816189606405E-3</v>
      </c>
      <c r="J751" s="23">
        <v>42004</v>
      </c>
      <c r="K751" s="22">
        <v>688.14269999999999</v>
      </c>
      <c r="L751">
        <f t="shared" si="22"/>
        <v>1.5337715692390397E-2</v>
      </c>
      <c r="M751" s="23">
        <v>41967</v>
      </c>
      <c r="N751" s="22">
        <v>799.10739999999998</v>
      </c>
      <c r="O751">
        <f t="shared" si="23"/>
        <v>5.8815969461445405E-6</v>
      </c>
    </row>
    <row r="752" spans="7:15" x14ac:dyDescent="0.25">
      <c r="G752" s="23">
        <v>42006</v>
      </c>
      <c r="H752" s="22">
        <v>460.47969999999998</v>
      </c>
      <c r="I752">
        <f t="shared" si="22"/>
        <v>-4.5385391463148572E-5</v>
      </c>
      <c r="J752" s="23">
        <v>42006</v>
      </c>
      <c r="K752" s="22">
        <v>688.0231</v>
      </c>
      <c r="L752">
        <f t="shared" si="22"/>
        <v>-1.7380116071852303E-4</v>
      </c>
      <c r="M752" s="23">
        <v>41968</v>
      </c>
      <c r="N752" s="22">
        <v>792.24220000000003</v>
      </c>
      <c r="O752">
        <f t="shared" si="23"/>
        <v>-8.5910855036506195E-3</v>
      </c>
    </row>
    <row r="753" spans="7:15" x14ac:dyDescent="0.25">
      <c r="G753" s="23">
        <v>42009</v>
      </c>
      <c r="H753" s="22">
        <v>460.48410000000001</v>
      </c>
      <c r="I753">
        <f t="shared" si="22"/>
        <v>9.5552529244535833E-6</v>
      </c>
      <c r="J753" s="23">
        <v>42009</v>
      </c>
      <c r="K753" s="22">
        <v>687.89670000000001</v>
      </c>
      <c r="L753">
        <f t="shared" si="22"/>
        <v>-1.8371476190259806E-4</v>
      </c>
      <c r="M753" s="23">
        <v>41969</v>
      </c>
      <c r="N753" s="22">
        <v>789.89059999999995</v>
      </c>
      <c r="O753">
        <f t="shared" si="23"/>
        <v>-2.9682841938993842E-3</v>
      </c>
    </row>
    <row r="754" spans="7:15" x14ac:dyDescent="0.25">
      <c r="G754" s="23">
        <v>42010</v>
      </c>
      <c r="H754" s="22">
        <v>460.48390000000001</v>
      </c>
      <c r="I754">
        <f t="shared" si="22"/>
        <v>-4.3432552832012306E-7</v>
      </c>
      <c r="J754" s="23">
        <v>42010</v>
      </c>
      <c r="K754" s="22">
        <v>687.62180000000001</v>
      </c>
      <c r="L754">
        <f t="shared" si="22"/>
        <v>-3.9962395516657256E-4</v>
      </c>
      <c r="M754" s="23">
        <v>41971</v>
      </c>
      <c r="N754" s="22">
        <v>790.10490000000004</v>
      </c>
      <c r="O754">
        <f t="shared" si="23"/>
        <v>2.7130339315362129E-4</v>
      </c>
    </row>
    <row r="755" spans="7:15" x14ac:dyDescent="0.25">
      <c r="G755" s="23">
        <v>42011</v>
      </c>
      <c r="H755" s="22">
        <v>460.5034</v>
      </c>
      <c r="I755">
        <f t="shared" si="22"/>
        <v>4.2346757400224533E-5</v>
      </c>
      <c r="J755" s="23">
        <v>42011</v>
      </c>
      <c r="K755" s="22">
        <v>687.43679999999995</v>
      </c>
      <c r="L755">
        <f t="shared" si="22"/>
        <v>-2.6904324441145988E-4</v>
      </c>
      <c r="M755" s="23">
        <v>41974</v>
      </c>
      <c r="N755" s="22">
        <v>790.1105</v>
      </c>
      <c r="O755">
        <f t="shared" si="23"/>
        <v>7.0876664604035966E-6</v>
      </c>
    </row>
    <row r="756" spans="7:15" x14ac:dyDescent="0.25">
      <c r="G756" s="23">
        <v>42012</v>
      </c>
      <c r="H756" s="22">
        <v>460.54520000000002</v>
      </c>
      <c r="I756">
        <f t="shared" si="22"/>
        <v>9.0770231012449187E-5</v>
      </c>
      <c r="J756" s="23">
        <v>42012</v>
      </c>
      <c r="K756" s="22">
        <v>687.45349999999996</v>
      </c>
      <c r="L756">
        <f t="shared" si="22"/>
        <v>2.4293142293352332E-5</v>
      </c>
      <c r="M756" s="23">
        <v>41975</v>
      </c>
      <c r="N756" s="22">
        <v>790.33720000000005</v>
      </c>
      <c r="O756">
        <f t="shared" si="23"/>
        <v>2.8692189257073508E-4</v>
      </c>
    </row>
    <row r="757" spans="7:15" x14ac:dyDescent="0.25">
      <c r="G757" s="23">
        <v>42013</v>
      </c>
      <c r="H757" s="22">
        <v>460.54559999999998</v>
      </c>
      <c r="I757">
        <f t="shared" si="22"/>
        <v>8.6853581349188858E-7</v>
      </c>
      <c r="J757" s="23">
        <v>42013</v>
      </c>
      <c r="K757" s="22">
        <v>687.08789999999999</v>
      </c>
      <c r="L757">
        <f t="shared" si="22"/>
        <v>-5.3181778840305505E-4</v>
      </c>
      <c r="M757" s="23">
        <v>41976</v>
      </c>
      <c r="N757" s="22">
        <v>790.33849999999995</v>
      </c>
      <c r="O757">
        <f t="shared" si="23"/>
        <v>1.6448675324021167E-6</v>
      </c>
    </row>
    <row r="758" spans="7:15" x14ac:dyDescent="0.25">
      <c r="G758" s="23">
        <v>42016</v>
      </c>
      <c r="H758" s="22">
        <v>460.54899999999998</v>
      </c>
      <c r="I758">
        <f t="shared" si="22"/>
        <v>7.3825480040312641E-6</v>
      </c>
      <c r="J758" s="23">
        <v>42016</v>
      </c>
      <c r="K758" s="22">
        <v>687.1857</v>
      </c>
      <c r="L758">
        <f t="shared" si="22"/>
        <v>1.4233986655853847E-4</v>
      </c>
      <c r="M758" s="23">
        <v>41977</v>
      </c>
      <c r="N758" s="22">
        <v>790.92250000000001</v>
      </c>
      <c r="O758">
        <f t="shared" si="23"/>
        <v>7.3892389147189874E-4</v>
      </c>
    </row>
    <row r="759" spans="7:15" x14ac:dyDescent="0.25">
      <c r="G759" s="23">
        <v>42017</v>
      </c>
      <c r="H759" s="22">
        <v>460.6069</v>
      </c>
      <c r="I759">
        <f t="shared" si="22"/>
        <v>1.2571952170126188E-4</v>
      </c>
      <c r="J759" s="23">
        <v>42017</v>
      </c>
      <c r="K759" s="22">
        <v>687.48230000000001</v>
      </c>
      <c r="L759">
        <f t="shared" si="22"/>
        <v>4.3161550073000932E-4</v>
      </c>
      <c r="M759" s="23">
        <v>41978</v>
      </c>
      <c r="N759" s="22">
        <v>791.08969999999999</v>
      </c>
      <c r="O759">
        <f t="shared" si="23"/>
        <v>2.113987147918106E-4</v>
      </c>
    </row>
    <row r="760" spans="7:15" x14ac:dyDescent="0.25">
      <c r="G760" s="23">
        <v>42018</v>
      </c>
      <c r="H760" s="22">
        <v>460.76569999999998</v>
      </c>
      <c r="I760">
        <f t="shared" si="22"/>
        <v>3.4476252961046505E-4</v>
      </c>
      <c r="J760" s="23">
        <v>42018</v>
      </c>
      <c r="K760" s="22">
        <v>687.94759999999997</v>
      </c>
      <c r="L760">
        <f t="shared" si="22"/>
        <v>6.7681742497227582E-4</v>
      </c>
      <c r="M760" s="23">
        <v>41981</v>
      </c>
      <c r="N760" s="22">
        <v>791.08529999999996</v>
      </c>
      <c r="O760">
        <f t="shared" si="23"/>
        <v>-5.561948284826812E-6</v>
      </c>
    </row>
    <row r="761" spans="7:15" x14ac:dyDescent="0.25">
      <c r="G761" s="23">
        <v>42019</v>
      </c>
      <c r="H761" s="22">
        <v>460.70569999999998</v>
      </c>
      <c r="I761">
        <f t="shared" si="22"/>
        <v>-1.3021802621160372E-4</v>
      </c>
      <c r="J761" s="23">
        <v>42019</v>
      </c>
      <c r="K761" s="22">
        <v>687.96320000000003</v>
      </c>
      <c r="L761">
        <f t="shared" si="22"/>
        <v>2.2676145683186988E-5</v>
      </c>
      <c r="M761" s="23">
        <v>41982</v>
      </c>
      <c r="N761" s="22">
        <v>791.0883</v>
      </c>
      <c r="O761">
        <f t="shared" si="23"/>
        <v>3.7922585591765312E-6</v>
      </c>
    </row>
    <row r="762" spans="7:15" x14ac:dyDescent="0.25">
      <c r="G762" s="23">
        <v>42020</v>
      </c>
      <c r="H762" s="22">
        <v>460.68400000000003</v>
      </c>
      <c r="I762">
        <f t="shared" si="22"/>
        <v>-4.7101652964065543E-5</v>
      </c>
      <c r="J762" s="23">
        <v>42020</v>
      </c>
      <c r="K762" s="22">
        <v>687.94839999999999</v>
      </c>
      <c r="L762">
        <f t="shared" si="22"/>
        <v>-2.1512778590526693E-5</v>
      </c>
      <c r="M762" s="23">
        <v>41983</v>
      </c>
      <c r="N762" s="22">
        <v>791.08789999999999</v>
      </c>
      <c r="O762">
        <f t="shared" si="23"/>
        <v>-5.0563255704627608E-7</v>
      </c>
    </row>
    <row r="763" spans="7:15" x14ac:dyDescent="0.25">
      <c r="G763" s="23">
        <v>42023</v>
      </c>
      <c r="H763" s="22">
        <v>460.68400000000003</v>
      </c>
      <c r="I763">
        <f t="shared" si="22"/>
        <v>0</v>
      </c>
      <c r="J763" s="23">
        <v>42023</v>
      </c>
      <c r="K763" s="22">
        <v>687.94839999999999</v>
      </c>
      <c r="L763">
        <f t="shared" si="22"/>
        <v>0</v>
      </c>
      <c r="M763" s="23">
        <v>41984</v>
      </c>
      <c r="N763" s="22">
        <v>791.2364</v>
      </c>
      <c r="O763">
        <f t="shared" si="23"/>
        <v>1.8771618172896964E-4</v>
      </c>
    </row>
    <row r="764" spans="7:15" x14ac:dyDescent="0.25">
      <c r="G764" s="23">
        <v>42024</v>
      </c>
      <c r="H764" s="22">
        <v>460.6071</v>
      </c>
      <c r="I764">
        <f t="shared" si="22"/>
        <v>-1.6692570178267196E-4</v>
      </c>
      <c r="J764" s="23">
        <v>42024</v>
      </c>
      <c r="K764" s="22">
        <v>687.92939999999999</v>
      </c>
      <c r="L764">
        <f t="shared" si="22"/>
        <v>-2.7618350446068085E-5</v>
      </c>
      <c r="M764" s="23">
        <v>41985</v>
      </c>
      <c r="N764" s="22">
        <v>791.23720000000003</v>
      </c>
      <c r="O764">
        <f t="shared" si="23"/>
        <v>1.0110758301706824E-6</v>
      </c>
    </row>
    <row r="765" spans="7:15" x14ac:dyDescent="0.25">
      <c r="G765" s="23">
        <v>42025</v>
      </c>
      <c r="H765" s="22">
        <v>460.60939999999999</v>
      </c>
      <c r="I765">
        <f t="shared" si="22"/>
        <v>4.9934097845483194E-6</v>
      </c>
      <c r="J765" s="23">
        <v>42025</v>
      </c>
      <c r="K765" s="22">
        <v>687.93629999999996</v>
      </c>
      <c r="L765">
        <f t="shared" si="22"/>
        <v>1.0030099018898397E-5</v>
      </c>
      <c r="M765" s="23">
        <v>41988</v>
      </c>
      <c r="N765" s="22">
        <v>791.23339999999996</v>
      </c>
      <c r="O765">
        <f t="shared" si="23"/>
        <v>-4.8026053376393207E-6</v>
      </c>
    </row>
    <row r="766" spans="7:15" x14ac:dyDescent="0.25">
      <c r="G766" s="23">
        <v>42026</v>
      </c>
      <c r="H766" s="22">
        <v>455.61919999999998</v>
      </c>
      <c r="I766">
        <f t="shared" si="22"/>
        <v>-1.0833908296270178E-2</v>
      </c>
      <c r="J766" s="23">
        <v>42026</v>
      </c>
      <c r="K766" s="22">
        <v>684.66129999999998</v>
      </c>
      <c r="L766">
        <f t="shared" si="22"/>
        <v>-4.7606151906797178E-3</v>
      </c>
      <c r="M766" s="23">
        <v>41989</v>
      </c>
      <c r="N766" s="22">
        <v>805.90909999999997</v>
      </c>
      <c r="O766">
        <f t="shared" si="23"/>
        <v>1.8547877276161584E-2</v>
      </c>
    </row>
    <row r="767" spans="7:15" x14ac:dyDescent="0.25">
      <c r="G767" s="23">
        <v>42027</v>
      </c>
      <c r="H767" s="22">
        <v>455.63139999999999</v>
      </c>
      <c r="I767">
        <f t="shared" si="22"/>
        <v>2.6776746897327897E-5</v>
      </c>
      <c r="J767" s="23">
        <v>42027</v>
      </c>
      <c r="K767" s="22">
        <v>684.6934</v>
      </c>
      <c r="L767">
        <f t="shared" si="22"/>
        <v>4.6884496027521649E-5</v>
      </c>
      <c r="M767" s="23">
        <v>41990</v>
      </c>
      <c r="N767" s="22">
        <v>805.86289999999997</v>
      </c>
      <c r="O767">
        <f t="shared" si="23"/>
        <v>-5.732656449719542E-5</v>
      </c>
    </row>
    <row r="768" spans="7:15" x14ac:dyDescent="0.25">
      <c r="G768" s="23">
        <v>42030</v>
      </c>
      <c r="H768" s="22">
        <v>455.6343</v>
      </c>
      <c r="I768">
        <f t="shared" si="22"/>
        <v>6.3647939980704393E-6</v>
      </c>
      <c r="J768" s="23">
        <v>42030</v>
      </c>
      <c r="K768" s="22">
        <v>684.68809999999996</v>
      </c>
      <c r="L768">
        <f t="shared" si="22"/>
        <v>-7.7406909428923143E-6</v>
      </c>
      <c r="M768" s="23">
        <v>41991</v>
      </c>
      <c r="N768" s="22">
        <v>814.18979999999999</v>
      </c>
      <c r="O768">
        <f t="shared" si="23"/>
        <v>1.0332899057643674E-2</v>
      </c>
    </row>
    <row r="769" spans="7:15" x14ac:dyDescent="0.25">
      <c r="G769" s="23">
        <v>42031</v>
      </c>
      <c r="H769" s="22">
        <v>455.64049999999997</v>
      </c>
      <c r="I769">
        <f t="shared" si="22"/>
        <v>1.3607404008020296E-5</v>
      </c>
      <c r="J769" s="23">
        <v>42031</v>
      </c>
      <c r="K769" s="22">
        <v>684.6848</v>
      </c>
      <c r="L769">
        <f t="shared" si="22"/>
        <v>-4.8197128005300627E-6</v>
      </c>
      <c r="M769" s="23">
        <v>41992</v>
      </c>
      <c r="N769" s="22">
        <v>814.19010000000003</v>
      </c>
      <c r="O769">
        <f t="shared" si="23"/>
        <v>3.6846445383709181E-7</v>
      </c>
    </row>
    <row r="770" spans="7:15" x14ac:dyDescent="0.25">
      <c r="G770" s="23">
        <v>42032</v>
      </c>
      <c r="H770" s="22">
        <v>455.63049999999998</v>
      </c>
      <c r="I770">
        <f t="shared" si="22"/>
        <v>-2.1947127175847569E-5</v>
      </c>
      <c r="J770" s="23">
        <v>42032</v>
      </c>
      <c r="K770" s="22">
        <v>684.67229999999995</v>
      </c>
      <c r="L770">
        <f t="shared" si="22"/>
        <v>-1.8256575872621639E-5</v>
      </c>
      <c r="M770" s="23">
        <v>41995</v>
      </c>
      <c r="N770" s="22">
        <v>814.18939999999998</v>
      </c>
      <c r="O770">
        <f t="shared" si="23"/>
        <v>-8.5975007557692606E-7</v>
      </c>
    </row>
    <row r="771" spans="7:15" x14ac:dyDescent="0.25">
      <c r="G771" s="23">
        <v>42033</v>
      </c>
      <c r="H771" s="22">
        <v>455.01889999999997</v>
      </c>
      <c r="I771">
        <f t="shared" si="22"/>
        <v>-1.3423157580539913E-3</v>
      </c>
      <c r="J771" s="23">
        <v>42033</v>
      </c>
      <c r="K771" s="22">
        <v>685.52700000000004</v>
      </c>
      <c r="L771">
        <f t="shared" si="22"/>
        <v>1.2483344221754233E-3</v>
      </c>
      <c r="M771" s="23">
        <v>41996</v>
      </c>
      <c r="N771" s="22">
        <v>814.19380000000001</v>
      </c>
      <c r="O771">
        <f t="shared" si="23"/>
        <v>5.4041479784494584E-6</v>
      </c>
    </row>
    <row r="772" spans="7:15" x14ac:dyDescent="0.25">
      <c r="G772" s="23">
        <v>42034</v>
      </c>
      <c r="H772" s="22">
        <v>456.197</v>
      </c>
      <c r="I772">
        <f t="shared" ref="I772:L835" si="24">H772/H771-1</f>
        <v>2.5891232210355497E-3</v>
      </c>
      <c r="J772" s="23">
        <v>42034</v>
      </c>
      <c r="K772" s="22">
        <v>686.24300000000005</v>
      </c>
      <c r="L772">
        <f t="shared" si="24"/>
        <v>1.0444519326007207E-3</v>
      </c>
      <c r="M772" s="23">
        <v>41997</v>
      </c>
      <c r="N772" s="22">
        <v>814.19650000000001</v>
      </c>
      <c r="O772">
        <f t="shared" ref="O772:O835" si="25">N772/N771-1</f>
        <v>3.3161637928991183E-6</v>
      </c>
    </row>
    <row r="773" spans="7:15" x14ac:dyDescent="0.25">
      <c r="G773" s="23">
        <v>42037</v>
      </c>
      <c r="H773" s="22">
        <v>456.26949999999999</v>
      </c>
      <c r="I773">
        <f t="shared" si="24"/>
        <v>1.5892257073146787E-4</v>
      </c>
      <c r="J773" s="23">
        <v>42037</v>
      </c>
      <c r="K773" s="22">
        <v>687.14509999999996</v>
      </c>
      <c r="L773">
        <f t="shared" si="24"/>
        <v>1.3145489280035338E-3</v>
      </c>
      <c r="M773" s="23">
        <v>41999</v>
      </c>
      <c r="N773" s="22">
        <v>814.19880000000001</v>
      </c>
      <c r="O773">
        <f t="shared" si="25"/>
        <v>2.8248709003086958E-6</v>
      </c>
    </row>
    <row r="774" spans="7:15" x14ac:dyDescent="0.25">
      <c r="G774" s="23">
        <v>42038</v>
      </c>
      <c r="H774" s="22">
        <v>456.25729999999999</v>
      </c>
      <c r="I774">
        <f t="shared" si="24"/>
        <v>-2.6738583227658985E-5</v>
      </c>
      <c r="J774" s="23">
        <v>42038</v>
      </c>
      <c r="K774" s="22">
        <v>687.82870000000003</v>
      </c>
      <c r="L774">
        <f t="shared" si="24"/>
        <v>9.9484082765055604E-4</v>
      </c>
      <c r="M774" s="23">
        <v>42002</v>
      </c>
      <c r="N774" s="22">
        <v>814.20219999999995</v>
      </c>
      <c r="O774">
        <f t="shared" si="25"/>
        <v>4.1758843172257087E-6</v>
      </c>
    </row>
    <row r="775" spans="7:15" x14ac:dyDescent="0.25">
      <c r="G775" s="23">
        <v>42039</v>
      </c>
      <c r="H775" s="22">
        <v>456.23820000000001</v>
      </c>
      <c r="I775">
        <f t="shared" si="24"/>
        <v>-4.1862343901133414E-5</v>
      </c>
      <c r="J775" s="23">
        <v>42039</v>
      </c>
      <c r="K775" s="22">
        <v>688.42819999999995</v>
      </c>
      <c r="L775">
        <f t="shared" si="24"/>
        <v>8.7158328810632568E-4</v>
      </c>
      <c r="M775" s="23">
        <v>42003</v>
      </c>
      <c r="N775" s="22">
        <v>814.20500000000004</v>
      </c>
      <c r="O775">
        <f t="shared" si="25"/>
        <v>3.4389491947450779E-6</v>
      </c>
    </row>
    <row r="776" spans="7:15" x14ac:dyDescent="0.25">
      <c r="G776" s="23">
        <v>42040</v>
      </c>
      <c r="H776" s="22">
        <v>456.39370000000002</v>
      </c>
      <c r="I776">
        <f t="shared" si="24"/>
        <v>3.408307327181781E-4</v>
      </c>
      <c r="J776" s="23">
        <v>42040</v>
      </c>
      <c r="K776" s="22">
        <v>688.93100000000004</v>
      </c>
      <c r="L776">
        <f t="shared" si="24"/>
        <v>7.3035938969390202E-4</v>
      </c>
      <c r="M776" s="23">
        <v>42004</v>
      </c>
      <c r="N776" s="22">
        <v>831.82119999999998</v>
      </c>
      <c r="O776">
        <f t="shared" si="25"/>
        <v>2.1636074452993981E-2</v>
      </c>
    </row>
    <row r="777" spans="7:15" x14ac:dyDescent="0.25">
      <c r="G777" s="23">
        <v>42041</v>
      </c>
      <c r="H777" s="22">
        <v>456.26260000000002</v>
      </c>
      <c r="I777">
        <f t="shared" si="24"/>
        <v>-2.8725199318047068E-4</v>
      </c>
      <c r="J777" s="23">
        <v>42041</v>
      </c>
      <c r="K777" s="22">
        <v>688.83979999999997</v>
      </c>
      <c r="L777">
        <f t="shared" si="24"/>
        <v>-1.323790045738571E-4</v>
      </c>
      <c r="M777" s="23">
        <v>42006</v>
      </c>
      <c r="N777" s="22">
        <v>831.43870000000004</v>
      </c>
      <c r="O777">
        <f t="shared" si="25"/>
        <v>-4.5983439710350904E-4</v>
      </c>
    </row>
    <row r="778" spans="7:15" x14ac:dyDescent="0.25">
      <c r="G778" s="23">
        <v>42044</v>
      </c>
      <c r="H778" s="22">
        <v>456.26429999999999</v>
      </c>
      <c r="I778">
        <f t="shared" si="24"/>
        <v>3.7259245004861441E-6</v>
      </c>
      <c r="J778" s="23">
        <v>42044</v>
      </c>
      <c r="K778" s="22">
        <v>688.84310000000005</v>
      </c>
      <c r="L778">
        <f t="shared" si="24"/>
        <v>4.7906639542016904E-6</v>
      </c>
      <c r="M778" s="23">
        <v>42009</v>
      </c>
      <c r="N778" s="22">
        <v>831.44200000000001</v>
      </c>
      <c r="O778">
        <f t="shared" si="25"/>
        <v>3.9690238138323508E-6</v>
      </c>
    </row>
    <row r="779" spans="7:15" x14ac:dyDescent="0.25">
      <c r="G779" s="23">
        <v>42045</v>
      </c>
      <c r="H779" s="22">
        <v>456.26530000000002</v>
      </c>
      <c r="I779">
        <f t="shared" si="24"/>
        <v>2.1917121282299945E-6</v>
      </c>
      <c r="J779" s="23">
        <v>42045</v>
      </c>
      <c r="K779" s="22">
        <v>688.75919999999996</v>
      </c>
      <c r="L779">
        <f t="shared" si="24"/>
        <v>-1.217984182465548E-4</v>
      </c>
      <c r="M779" s="23">
        <v>42010</v>
      </c>
      <c r="N779" s="22">
        <v>831.32950000000005</v>
      </c>
      <c r="O779">
        <f t="shared" si="25"/>
        <v>-1.3530709297815413E-4</v>
      </c>
    </row>
    <row r="780" spans="7:15" x14ac:dyDescent="0.25">
      <c r="G780" s="23">
        <v>42046</v>
      </c>
      <c r="H780" s="22">
        <v>451.12020000000001</v>
      </c>
      <c r="I780">
        <f t="shared" si="24"/>
        <v>-1.1276553356128538E-2</v>
      </c>
      <c r="J780" s="23">
        <v>42046</v>
      </c>
      <c r="K780" s="22">
        <v>688.80730000000005</v>
      </c>
      <c r="L780">
        <f t="shared" si="24"/>
        <v>6.9835727784184343E-5</v>
      </c>
      <c r="M780" s="23">
        <v>42011</v>
      </c>
      <c r="N780" s="22">
        <v>830.89020000000005</v>
      </c>
      <c r="O780">
        <f t="shared" si="25"/>
        <v>-5.2843066437557873E-4</v>
      </c>
    </row>
    <row r="781" spans="7:15" x14ac:dyDescent="0.25">
      <c r="G781" s="23">
        <v>42047</v>
      </c>
      <c r="H781" s="22">
        <v>451.10919999999999</v>
      </c>
      <c r="I781">
        <f t="shared" si="24"/>
        <v>-2.4383745174882954E-5</v>
      </c>
      <c r="J781" s="23">
        <v>42047</v>
      </c>
      <c r="K781" s="22">
        <v>688.80669999999998</v>
      </c>
      <c r="L781">
        <f t="shared" si="24"/>
        <v>-8.710709077375256E-7</v>
      </c>
      <c r="M781" s="23">
        <v>42012</v>
      </c>
      <c r="N781" s="22">
        <v>830.88819999999998</v>
      </c>
      <c r="O781">
        <f t="shared" si="25"/>
        <v>-2.4070569132339514E-6</v>
      </c>
    </row>
    <row r="782" spans="7:15" x14ac:dyDescent="0.25">
      <c r="G782" s="23">
        <v>42048</v>
      </c>
      <c r="H782" s="22">
        <v>450.8383</v>
      </c>
      <c r="I782">
        <f t="shared" si="24"/>
        <v>-6.0051978545327955E-4</v>
      </c>
      <c r="J782" s="23">
        <v>42048</v>
      </c>
      <c r="K782" s="22">
        <v>688.72270000000003</v>
      </c>
      <c r="L782">
        <f t="shared" si="24"/>
        <v>-1.2195003329662502E-4</v>
      </c>
      <c r="M782" s="23">
        <v>42013</v>
      </c>
      <c r="N782" s="22">
        <v>830.90430000000003</v>
      </c>
      <c r="O782">
        <f t="shared" si="25"/>
        <v>1.9376854792252374E-5</v>
      </c>
    </row>
    <row r="783" spans="7:15" x14ac:dyDescent="0.25">
      <c r="G783" s="23">
        <v>42051</v>
      </c>
      <c r="H783" s="22">
        <v>450.8383</v>
      </c>
      <c r="I783">
        <f t="shared" si="24"/>
        <v>0</v>
      </c>
      <c r="J783" s="23">
        <v>42051</v>
      </c>
      <c r="K783" s="22">
        <v>688.72270000000003</v>
      </c>
      <c r="L783">
        <f t="shared" si="24"/>
        <v>0</v>
      </c>
      <c r="M783" s="23">
        <v>42016</v>
      </c>
      <c r="N783" s="22">
        <v>830.91139999999996</v>
      </c>
      <c r="O783">
        <f t="shared" si="25"/>
        <v>8.5449070368337487E-6</v>
      </c>
    </row>
    <row r="784" spans="7:15" x14ac:dyDescent="0.25">
      <c r="G784" s="23">
        <v>42052</v>
      </c>
      <c r="H784" s="22">
        <v>450.74639999999999</v>
      </c>
      <c r="I784">
        <f t="shared" si="24"/>
        <v>-2.038424863194388E-4</v>
      </c>
      <c r="J784" s="23">
        <v>42052</v>
      </c>
      <c r="K784" s="22">
        <v>688.53719999999998</v>
      </c>
      <c r="L784">
        <f t="shared" si="24"/>
        <v>-2.6933916945104386E-4</v>
      </c>
      <c r="M784" s="23">
        <v>42017</v>
      </c>
      <c r="N784" s="22">
        <v>830.90909999999997</v>
      </c>
      <c r="O784">
        <f t="shared" si="25"/>
        <v>-2.7680448240197109E-6</v>
      </c>
    </row>
    <row r="785" spans="7:15" x14ac:dyDescent="0.25">
      <c r="G785" s="23">
        <v>42053</v>
      </c>
      <c r="H785" s="22">
        <v>450.73869999999999</v>
      </c>
      <c r="I785">
        <f t="shared" si="24"/>
        <v>-1.7082776479160344E-5</v>
      </c>
      <c r="J785" s="23">
        <v>42053</v>
      </c>
      <c r="K785" s="22">
        <v>688.46249999999998</v>
      </c>
      <c r="L785">
        <f t="shared" si="24"/>
        <v>-1.0849087021003179E-4</v>
      </c>
      <c r="M785" s="23">
        <v>42018</v>
      </c>
      <c r="N785" s="22">
        <v>830.98860000000002</v>
      </c>
      <c r="O785">
        <f t="shared" si="25"/>
        <v>9.5678335933602199E-5</v>
      </c>
    </row>
    <row r="786" spans="7:15" x14ac:dyDescent="0.25">
      <c r="G786" s="23">
        <v>42054</v>
      </c>
      <c r="H786" s="22">
        <v>450.65129999999999</v>
      </c>
      <c r="I786">
        <f t="shared" si="24"/>
        <v>-1.9390391816809238E-4</v>
      </c>
      <c r="J786" s="23">
        <v>42054</v>
      </c>
      <c r="K786" s="22">
        <v>688.33119999999997</v>
      </c>
      <c r="L786">
        <f t="shared" si="24"/>
        <v>-1.9071481743737628E-4</v>
      </c>
      <c r="M786" s="23">
        <v>42019</v>
      </c>
      <c r="N786" s="22">
        <v>831.50649999999996</v>
      </c>
      <c r="O786">
        <f t="shared" si="25"/>
        <v>6.2323357985882843E-4</v>
      </c>
    </row>
    <row r="787" spans="7:15" x14ac:dyDescent="0.25">
      <c r="G787" s="23">
        <v>42055</v>
      </c>
      <c r="H787" s="22">
        <v>450.56740000000002</v>
      </c>
      <c r="I787">
        <f t="shared" si="24"/>
        <v>-1.8617498717965475E-4</v>
      </c>
      <c r="J787" s="23">
        <v>42055</v>
      </c>
      <c r="K787" s="22">
        <v>688.27440000000001</v>
      </c>
      <c r="L787">
        <f t="shared" si="24"/>
        <v>-8.2518415553400892E-5</v>
      </c>
      <c r="M787" s="23">
        <v>42020</v>
      </c>
      <c r="N787" s="22">
        <v>831.50250000000005</v>
      </c>
      <c r="O787">
        <f t="shared" si="25"/>
        <v>-4.8105456781355471E-6</v>
      </c>
    </row>
    <row r="788" spans="7:15" x14ac:dyDescent="0.25">
      <c r="G788" s="23">
        <v>42058</v>
      </c>
      <c r="H788" s="22">
        <v>450.35660000000001</v>
      </c>
      <c r="I788">
        <f t="shared" si="24"/>
        <v>-4.6785453186359849E-4</v>
      </c>
      <c r="J788" s="23">
        <v>42058</v>
      </c>
      <c r="K788" s="22">
        <v>688.28060000000005</v>
      </c>
      <c r="L788">
        <f t="shared" si="24"/>
        <v>9.0080351673460513E-6</v>
      </c>
      <c r="M788" s="23">
        <v>42024</v>
      </c>
      <c r="N788" s="22">
        <v>831.48929999999996</v>
      </c>
      <c r="O788">
        <f t="shared" si="25"/>
        <v>-1.5874877105082064E-5</v>
      </c>
    </row>
    <row r="789" spans="7:15" x14ac:dyDescent="0.25">
      <c r="G789" s="23">
        <v>42059</v>
      </c>
      <c r="H789" s="22">
        <v>434.8159</v>
      </c>
      <c r="I789">
        <f t="shared" si="24"/>
        <v>-3.450754357768937E-2</v>
      </c>
      <c r="J789" s="23">
        <v>42059</v>
      </c>
      <c r="K789" s="22">
        <v>674.28049999999996</v>
      </c>
      <c r="L789">
        <f t="shared" si="24"/>
        <v>-2.0340686632748461E-2</v>
      </c>
      <c r="M789" s="23">
        <v>42025</v>
      </c>
      <c r="N789" s="22">
        <v>831.61490000000003</v>
      </c>
      <c r="O789">
        <f t="shared" si="25"/>
        <v>1.5105425890626911E-4</v>
      </c>
    </row>
    <row r="790" spans="7:15" x14ac:dyDescent="0.25">
      <c r="G790" s="23">
        <v>42060</v>
      </c>
      <c r="H790" s="22">
        <v>434.60770000000002</v>
      </c>
      <c r="I790">
        <f t="shared" si="24"/>
        <v>-4.7882333649706954E-4</v>
      </c>
      <c r="J790" s="23">
        <v>42060</v>
      </c>
      <c r="K790" s="22">
        <v>674.25009999999997</v>
      </c>
      <c r="L790">
        <f t="shared" si="24"/>
        <v>-4.5085094408037207E-5</v>
      </c>
      <c r="M790" s="23">
        <v>42026</v>
      </c>
      <c r="N790" s="22">
        <v>831.42240000000004</v>
      </c>
      <c r="O790">
        <f t="shared" si="25"/>
        <v>-2.3147733404005333E-4</v>
      </c>
    </row>
    <row r="791" spans="7:15" x14ac:dyDescent="0.25">
      <c r="G791" s="23">
        <v>42061</v>
      </c>
      <c r="H791" s="22">
        <v>427.92959999999999</v>
      </c>
      <c r="I791">
        <f t="shared" si="24"/>
        <v>-1.536581151231331E-2</v>
      </c>
      <c r="J791" s="23">
        <v>42061</v>
      </c>
      <c r="K791" s="22">
        <v>673.98360000000002</v>
      </c>
      <c r="L791">
        <f t="shared" si="24"/>
        <v>-3.9525392728889663E-4</v>
      </c>
      <c r="M791" s="23">
        <v>42027</v>
      </c>
      <c r="N791" s="22">
        <v>831.39919999999995</v>
      </c>
      <c r="O791">
        <f t="shared" si="25"/>
        <v>-2.7903987191213453E-5</v>
      </c>
    </row>
    <row r="792" spans="7:15" x14ac:dyDescent="0.25">
      <c r="G792" s="23">
        <v>42062</v>
      </c>
      <c r="H792" s="22">
        <v>427.8544</v>
      </c>
      <c r="I792">
        <f t="shared" si="24"/>
        <v>-1.7572983967450995E-4</v>
      </c>
      <c r="J792" s="23">
        <v>42062</v>
      </c>
      <c r="K792" s="22">
        <v>673.40039999999999</v>
      </c>
      <c r="L792">
        <f t="shared" si="24"/>
        <v>-8.6530295395914614E-4</v>
      </c>
      <c r="M792" s="23">
        <v>42030</v>
      </c>
      <c r="N792" s="22">
        <v>831.3854</v>
      </c>
      <c r="O792">
        <f t="shared" si="25"/>
        <v>-1.6598524511413082E-5</v>
      </c>
    </row>
    <row r="793" spans="7:15" x14ac:dyDescent="0.25">
      <c r="G793" s="23">
        <v>42065</v>
      </c>
      <c r="H793" s="22">
        <v>427.85210000000001</v>
      </c>
      <c r="I793">
        <f t="shared" si="24"/>
        <v>-5.375660505069213E-6</v>
      </c>
      <c r="J793" s="23">
        <v>42065</v>
      </c>
      <c r="K793" s="22">
        <v>673.32249999999999</v>
      </c>
      <c r="L793">
        <f t="shared" si="24"/>
        <v>-1.1568154696672828E-4</v>
      </c>
      <c r="M793" s="23">
        <v>42031</v>
      </c>
      <c r="N793" s="22">
        <v>831.39509999999996</v>
      </c>
      <c r="O793">
        <f t="shared" si="25"/>
        <v>1.1667272482807078E-5</v>
      </c>
    </row>
    <row r="794" spans="7:15" x14ac:dyDescent="0.25">
      <c r="G794" s="23">
        <v>42066</v>
      </c>
      <c r="H794" s="22">
        <v>427.90499999999997</v>
      </c>
      <c r="I794">
        <f t="shared" si="24"/>
        <v>1.2364085626770382E-4</v>
      </c>
      <c r="J794" s="23">
        <v>42066</v>
      </c>
      <c r="K794" s="22">
        <v>673.25670000000002</v>
      </c>
      <c r="L794">
        <f t="shared" si="24"/>
        <v>-9.7724344574778854E-5</v>
      </c>
      <c r="M794" s="23">
        <v>42032</v>
      </c>
      <c r="N794" s="22">
        <v>831.42690000000005</v>
      </c>
      <c r="O794">
        <f t="shared" si="25"/>
        <v>3.8248962497045014E-5</v>
      </c>
    </row>
    <row r="795" spans="7:15" x14ac:dyDescent="0.25">
      <c r="G795" s="23">
        <v>42067</v>
      </c>
      <c r="H795" s="22">
        <v>427.90499999999997</v>
      </c>
      <c r="I795">
        <f t="shared" si="24"/>
        <v>0</v>
      </c>
      <c r="J795" s="23">
        <v>42067</v>
      </c>
      <c r="K795" s="22">
        <v>673.25670000000002</v>
      </c>
      <c r="L795">
        <f t="shared" si="24"/>
        <v>0</v>
      </c>
      <c r="M795" s="23">
        <v>42033</v>
      </c>
      <c r="N795" s="22">
        <v>829.74789999999996</v>
      </c>
      <c r="O795">
        <f t="shared" si="25"/>
        <v>-2.0194198672187635E-3</v>
      </c>
    </row>
    <row r="796" spans="7:15" x14ac:dyDescent="0.25">
      <c r="G796" s="23">
        <v>42068</v>
      </c>
      <c r="H796" s="22">
        <v>429.14569999999998</v>
      </c>
      <c r="I796">
        <f t="shared" si="24"/>
        <v>2.8994753508371218E-3</v>
      </c>
      <c r="J796" s="23">
        <v>42068</v>
      </c>
      <c r="K796" s="22">
        <v>672.92870000000005</v>
      </c>
      <c r="L796">
        <f t="shared" si="24"/>
        <v>-4.8718416021698019E-4</v>
      </c>
      <c r="M796" s="23">
        <v>42034</v>
      </c>
      <c r="N796" s="22">
        <v>830.07669999999996</v>
      </c>
      <c r="O796">
        <f t="shared" si="25"/>
        <v>3.962649378201899E-4</v>
      </c>
    </row>
    <row r="797" spans="7:15" x14ac:dyDescent="0.25">
      <c r="G797" s="23">
        <v>42069</v>
      </c>
      <c r="H797" s="22">
        <v>428.92770000000002</v>
      </c>
      <c r="I797">
        <f t="shared" si="24"/>
        <v>-5.0798598238299686E-4</v>
      </c>
      <c r="J797" s="23">
        <v>42069</v>
      </c>
      <c r="K797" s="22">
        <v>671.89359999999999</v>
      </c>
      <c r="L797">
        <f t="shared" si="24"/>
        <v>-1.5382015955034412E-3</v>
      </c>
      <c r="M797" s="23">
        <v>42037</v>
      </c>
      <c r="N797" s="22">
        <v>830.15940000000001</v>
      </c>
      <c r="O797">
        <f t="shared" si="25"/>
        <v>9.9629347504848198E-5</v>
      </c>
    </row>
    <row r="798" spans="7:15" x14ac:dyDescent="0.25">
      <c r="G798" s="23">
        <v>42072</v>
      </c>
      <c r="H798" s="22">
        <v>428.93279999999999</v>
      </c>
      <c r="I798">
        <f t="shared" si="24"/>
        <v>1.1890115746648888E-5</v>
      </c>
      <c r="J798" s="23">
        <v>42072</v>
      </c>
      <c r="K798" s="22">
        <v>671.64919999999995</v>
      </c>
      <c r="L798">
        <f t="shared" si="24"/>
        <v>-3.6374806963490602E-4</v>
      </c>
      <c r="M798" s="23">
        <v>42038</v>
      </c>
      <c r="N798" s="22">
        <v>830.32659999999998</v>
      </c>
      <c r="O798">
        <f t="shared" si="25"/>
        <v>2.0140710326232991E-4</v>
      </c>
    </row>
    <row r="799" spans="7:15" x14ac:dyDescent="0.25">
      <c r="G799" s="23">
        <v>42073</v>
      </c>
      <c r="H799" s="22">
        <v>428.79919999999998</v>
      </c>
      <c r="I799">
        <f t="shared" si="24"/>
        <v>-3.1147070123804799E-4</v>
      </c>
      <c r="J799" s="23">
        <v>42073</v>
      </c>
      <c r="K799" s="22">
        <v>660.04520000000002</v>
      </c>
      <c r="L799">
        <f t="shared" si="24"/>
        <v>-1.7276876083526793E-2</v>
      </c>
      <c r="M799" s="23">
        <v>42039</v>
      </c>
      <c r="N799" s="22">
        <v>830.47950000000003</v>
      </c>
      <c r="O799">
        <f t="shared" si="25"/>
        <v>1.841444077548271E-4</v>
      </c>
    </row>
    <row r="800" spans="7:15" x14ac:dyDescent="0.25">
      <c r="G800" s="23">
        <v>42074</v>
      </c>
      <c r="H800" s="22">
        <v>428.75459999999998</v>
      </c>
      <c r="I800">
        <f t="shared" si="24"/>
        <v>-1.040113880809157E-4</v>
      </c>
      <c r="J800" s="23">
        <v>42074</v>
      </c>
      <c r="K800" s="22">
        <v>659.77850000000001</v>
      </c>
      <c r="L800">
        <f t="shared" si="24"/>
        <v>-4.0406323688135792E-4</v>
      </c>
      <c r="M800" s="23">
        <v>42040</v>
      </c>
      <c r="N800" s="22">
        <v>831.5761</v>
      </c>
      <c r="O800">
        <f t="shared" si="25"/>
        <v>1.3204419856238658E-3</v>
      </c>
    </row>
    <row r="801" spans="7:15" x14ac:dyDescent="0.25">
      <c r="G801" s="23">
        <v>42075</v>
      </c>
      <c r="H801" s="22">
        <v>428.80630000000002</v>
      </c>
      <c r="I801">
        <f t="shared" si="24"/>
        <v>1.2058179667362445E-4</v>
      </c>
      <c r="J801" s="23">
        <v>42075</v>
      </c>
      <c r="K801" s="22">
        <v>659.58429999999998</v>
      </c>
      <c r="L801">
        <f t="shared" si="24"/>
        <v>-2.9434120693538901E-4</v>
      </c>
      <c r="M801" s="23">
        <v>42041</v>
      </c>
      <c r="N801" s="22">
        <v>831.75</v>
      </c>
      <c r="O801">
        <f t="shared" si="25"/>
        <v>2.0912096920544521E-4</v>
      </c>
    </row>
    <row r="802" spans="7:15" x14ac:dyDescent="0.25">
      <c r="G802" s="23">
        <v>42076</v>
      </c>
      <c r="H802" s="22">
        <v>428.80770000000001</v>
      </c>
      <c r="I802">
        <f t="shared" si="24"/>
        <v>3.2648774050958451E-6</v>
      </c>
      <c r="J802" s="23">
        <v>42076</v>
      </c>
      <c r="K802" s="22">
        <v>659.41959999999995</v>
      </c>
      <c r="L802">
        <f t="shared" si="24"/>
        <v>-2.4970272943125593E-4</v>
      </c>
      <c r="M802" s="23">
        <v>42044</v>
      </c>
      <c r="N802" s="22">
        <v>831.90179999999998</v>
      </c>
      <c r="O802">
        <f t="shared" si="25"/>
        <v>1.8250676284936596E-4</v>
      </c>
    </row>
    <row r="803" spans="7:15" x14ac:dyDescent="0.25">
      <c r="G803" s="23">
        <v>42079</v>
      </c>
      <c r="H803" s="22">
        <v>429.04180000000002</v>
      </c>
      <c r="I803">
        <f t="shared" si="24"/>
        <v>5.4593236082278729E-4</v>
      </c>
      <c r="J803" s="23">
        <v>42079</v>
      </c>
      <c r="K803" s="22">
        <v>659.42290000000003</v>
      </c>
      <c r="L803">
        <f t="shared" si="24"/>
        <v>5.0044008399474649E-6</v>
      </c>
      <c r="M803" s="23">
        <v>42045</v>
      </c>
      <c r="N803" s="22">
        <v>831.84079999999994</v>
      </c>
      <c r="O803">
        <f t="shared" si="25"/>
        <v>-7.3325962271053591E-5</v>
      </c>
    </row>
    <row r="804" spans="7:15" x14ac:dyDescent="0.25">
      <c r="G804" s="23">
        <v>42080</v>
      </c>
      <c r="H804" s="22">
        <v>429.13619999999997</v>
      </c>
      <c r="I804">
        <f t="shared" si="24"/>
        <v>2.2002518169550456E-4</v>
      </c>
      <c r="J804" s="23">
        <v>42080</v>
      </c>
      <c r="K804" s="22">
        <v>659.54079999999999</v>
      </c>
      <c r="L804">
        <f t="shared" si="24"/>
        <v>1.7879269888854132E-4</v>
      </c>
      <c r="M804" s="23">
        <v>42046</v>
      </c>
      <c r="N804" s="22">
        <v>831.85990000000004</v>
      </c>
      <c r="O804">
        <f t="shared" si="25"/>
        <v>2.2961124292120161E-5</v>
      </c>
    </row>
    <row r="805" spans="7:15" x14ac:dyDescent="0.25">
      <c r="G805" s="23">
        <v>42081</v>
      </c>
      <c r="H805" s="22">
        <v>429.26479999999998</v>
      </c>
      <c r="I805">
        <f t="shared" si="24"/>
        <v>2.996717592222975E-4</v>
      </c>
      <c r="J805" s="23">
        <v>42081</v>
      </c>
      <c r="K805" s="22">
        <v>659.50390000000004</v>
      </c>
      <c r="L805">
        <f t="shared" si="24"/>
        <v>-5.5948017165796671E-5</v>
      </c>
      <c r="M805" s="23">
        <v>42047</v>
      </c>
      <c r="N805" s="22">
        <v>831.86059999999998</v>
      </c>
      <c r="O805">
        <f t="shared" si="25"/>
        <v>8.4148785139959159E-7</v>
      </c>
    </row>
    <row r="806" spans="7:15" x14ac:dyDescent="0.25">
      <c r="G806" s="23">
        <v>42082</v>
      </c>
      <c r="H806" s="22">
        <v>429.1377</v>
      </c>
      <c r="I806">
        <f t="shared" si="24"/>
        <v>-2.9608763634936253E-4</v>
      </c>
      <c r="J806" s="23">
        <v>42082</v>
      </c>
      <c r="K806" s="22">
        <v>659.75720000000001</v>
      </c>
      <c r="L806">
        <f t="shared" si="24"/>
        <v>3.8407657634764725E-4</v>
      </c>
      <c r="M806" s="23">
        <v>42048</v>
      </c>
      <c r="N806" s="22">
        <v>831.86320000000001</v>
      </c>
      <c r="O806">
        <f t="shared" si="25"/>
        <v>3.125523675429065E-6</v>
      </c>
    </row>
    <row r="807" spans="7:15" x14ac:dyDescent="0.25">
      <c r="G807" s="23">
        <v>42083</v>
      </c>
      <c r="H807" s="22">
        <v>429.10489999999999</v>
      </c>
      <c r="I807">
        <f t="shared" si="24"/>
        <v>-7.64323432781433E-5</v>
      </c>
      <c r="J807" s="23">
        <v>42083</v>
      </c>
      <c r="K807" s="22">
        <v>659.7423</v>
      </c>
      <c r="L807">
        <f t="shared" si="24"/>
        <v>-2.2584065774489126E-5</v>
      </c>
      <c r="M807" s="23">
        <v>42052</v>
      </c>
      <c r="N807" s="22">
        <v>831.84090000000003</v>
      </c>
      <c r="O807">
        <f t="shared" si="25"/>
        <v>-2.6807292352826195E-5</v>
      </c>
    </row>
    <row r="808" spans="7:15" x14ac:dyDescent="0.25">
      <c r="G808" s="23">
        <v>42086</v>
      </c>
      <c r="H808" s="22">
        <v>429.10899999999998</v>
      </c>
      <c r="I808">
        <f t="shared" si="24"/>
        <v>9.5547732035239363E-6</v>
      </c>
      <c r="J808" s="23">
        <v>42086</v>
      </c>
      <c r="K808" s="22">
        <v>659.74609999999996</v>
      </c>
      <c r="L808">
        <f t="shared" si="24"/>
        <v>5.7598247071855013E-6</v>
      </c>
      <c r="M808" s="23">
        <v>42053</v>
      </c>
      <c r="N808" s="22">
        <v>831.84490000000005</v>
      </c>
      <c r="O808">
        <f t="shared" si="25"/>
        <v>4.808611839157706E-6</v>
      </c>
    </row>
    <row r="809" spans="7:15" x14ac:dyDescent="0.25">
      <c r="G809" s="23">
        <v>42087</v>
      </c>
      <c r="H809" s="22">
        <v>429.11219999999997</v>
      </c>
      <c r="I809">
        <f t="shared" si="24"/>
        <v>7.4573127106791759E-6</v>
      </c>
      <c r="J809" s="23">
        <v>42087</v>
      </c>
      <c r="K809" s="22">
        <v>660.21180000000004</v>
      </c>
      <c r="L809">
        <f t="shared" si="24"/>
        <v>7.0587760958362722E-4</v>
      </c>
      <c r="M809" s="23">
        <v>42054</v>
      </c>
      <c r="N809" s="22">
        <v>831.84889999999996</v>
      </c>
      <c r="O809">
        <f t="shared" si="25"/>
        <v>4.8085887163207275E-6</v>
      </c>
    </row>
    <row r="810" spans="7:15" x14ac:dyDescent="0.25">
      <c r="G810" s="23">
        <v>42088</v>
      </c>
      <c r="H810" s="22">
        <v>429.14210000000003</v>
      </c>
      <c r="I810">
        <f t="shared" si="24"/>
        <v>6.9678746025036986E-5</v>
      </c>
      <c r="J810" s="23">
        <v>42088</v>
      </c>
      <c r="K810" s="22">
        <v>660.56399999999996</v>
      </c>
      <c r="L810">
        <f t="shared" si="24"/>
        <v>5.3346516981367387E-4</v>
      </c>
      <c r="M810" s="23">
        <v>42055</v>
      </c>
      <c r="N810" s="22">
        <v>831.84400000000005</v>
      </c>
      <c r="O810">
        <f t="shared" si="25"/>
        <v>-5.8904928526004596E-6</v>
      </c>
    </row>
    <row r="811" spans="7:15" x14ac:dyDescent="0.25">
      <c r="G811" s="23">
        <v>42089</v>
      </c>
      <c r="H811" s="22">
        <v>429.12130000000002</v>
      </c>
      <c r="I811">
        <f t="shared" si="24"/>
        <v>-4.84687939029671E-5</v>
      </c>
      <c r="J811" s="23">
        <v>42089</v>
      </c>
      <c r="K811" s="22">
        <v>669.71749999999997</v>
      </c>
      <c r="L811">
        <f t="shared" si="24"/>
        <v>1.3857097873938073E-2</v>
      </c>
      <c r="M811" s="23">
        <v>42058</v>
      </c>
      <c r="N811" s="22">
        <v>831.85140000000001</v>
      </c>
      <c r="O811">
        <f t="shared" si="25"/>
        <v>8.8958987503051645E-6</v>
      </c>
    </row>
    <row r="812" spans="7:15" x14ac:dyDescent="0.25">
      <c r="G812" s="23">
        <v>42090</v>
      </c>
      <c r="H812" s="22">
        <v>428.9914</v>
      </c>
      <c r="I812">
        <f t="shared" si="24"/>
        <v>-3.027116109128869E-4</v>
      </c>
      <c r="J812" s="23">
        <v>42090</v>
      </c>
      <c r="K812" s="22">
        <v>669.63620000000003</v>
      </c>
      <c r="L812">
        <f t="shared" si="24"/>
        <v>-1.2139446856318514E-4</v>
      </c>
      <c r="M812" s="23">
        <v>42059</v>
      </c>
      <c r="N812" s="22">
        <v>830.35289999999998</v>
      </c>
      <c r="O812">
        <f t="shared" si="25"/>
        <v>-1.8014034718220051E-3</v>
      </c>
    </row>
    <row r="813" spans="7:15" x14ac:dyDescent="0.25">
      <c r="G813" s="23">
        <v>42093</v>
      </c>
      <c r="H813" s="22">
        <v>429.01679999999999</v>
      </c>
      <c r="I813">
        <f t="shared" si="24"/>
        <v>5.9208646140618271E-5</v>
      </c>
      <c r="J813" s="23">
        <v>42093</v>
      </c>
      <c r="K813" s="22">
        <v>669.48860000000002</v>
      </c>
      <c r="L813">
        <f t="shared" si="24"/>
        <v>-2.2041819125073747E-4</v>
      </c>
      <c r="M813" s="23">
        <v>42060</v>
      </c>
      <c r="N813" s="22">
        <v>830.35140000000001</v>
      </c>
      <c r="O813">
        <f t="shared" si="25"/>
        <v>-1.8064608432455387E-6</v>
      </c>
    </row>
    <row r="814" spans="7:15" x14ac:dyDescent="0.25">
      <c r="G814" s="23">
        <v>42094</v>
      </c>
      <c r="H814" s="22">
        <v>429.12670000000003</v>
      </c>
      <c r="I814">
        <f t="shared" si="24"/>
        <v>2.5616712445764023E-4</v>
      </c>
      <c r="J814" s="23">
        <v>42094</v>
      </c>
      <c r="K814" s="22">
        <v>668.92340000000002</v>
      </c>
      <c r="L814">
        <f t="shared" si="24"/>
        <v>-8.4422647375925752E-4</v>
      </c>
      <c r="M814" s="23">
        <v>42061</v>
      </c>
      <c r="N814" s="22">
        <v>830.34969999999998</v>
      </c>
      <c r="O814">
        <f t="shared" si="25"/>
        <v>-2.0473259875197769E-6</v>
      </c>
    </row>
    <row r="815" spans="7:15" x14ac:dyDescent="0.25">
      <c r="G815" s="23">
        <v>42095</v>
      </c>
      <c r="H815" s="22">
        <v>429.1146</v>
      </c>
      <c r="I815">
        <f t="shared" si="24"/>
        <v>-2.8196800618607298E-5</v>
      </c>
      <c r="J815" s="23">
        <v>42095</v>
      </c>
      <c r="K815" s="22">
        <v>668.8098</v>
      </c>
      <c r="L815">
        <f t="shared" si="24"/>
        <v>-1.6982512496954705E-4</v>
      </c>
      <c r="M815" s="23">
        <v>42062</v>
      </c>
      <c r="N815" s="22">
        <v>829.78409999999997</v>
      </c>
      <c r="O815">
        <f t="shared" si="25"/>
        <v>-6.8115879369867738E-4</v>
      </c>
    </row>
    <row r="816" spans="7:15" x14ac:dyDescent="0.25">
      <c r="G816" s="23">
        <v>42096</v>
      </c>
      <c r="H816" s="22">
        <v>429.01749999999998</v>
      </c>
      <c r="I816">
        <f t="shared" si="24"/>
        <v>-2.2627987954737527E-4</v>
      </c>
      <c r="J816" s="23">
        <v>42096</v>
      </c>
      <c r="K816" s="22">
        <v>668.55809999999997</v>
      </c>
      <c r="L816">
        <f t="shared" si="24"/>
        <v>-3.7634017922583141E-4</v>
      </c>
      <c r="M816" s="23">
        <v>42065</v>
      </c>
      <c r="N816" s="22">
        <v>829.79349999999999</v>
      </c>
      <c r="O816">
        <f t="shared" si="25"/>
        <v>1.1328247914166312E-5</v>
      </c>
    </row>
    <row r="817" spans="7:15" x14ac:dyDescent="0.25">
      <c r="G817" s="23">
        <v>42097</v>
      </c>
      <c r="H817" s="22">
        <v>428.84039999999999</v>
      </c>
      <c r="I817">
        <f t="shared" si="24"/>
        <v>-4.1280367350982061E-4</v>
      </c>
      <c r="J817" s="23">
        <v>42097</v>
      </c>
      <c r="K817" s="22">
        <v>667.96759999999995</v>
      </c>
      <c r="L817">
        <f t="shared" si="24"/>
        <v>-8.8324410399043263E-4</v>
      </c>
      <c r="M817" s="23">
        <v>42066</v>
      </c>
      <c r="N817" s="22">
        <v>829.82309999999995</v>
      </c>
      <c r="O817">
        <f t="shared" si="25"/>
        <v>3.5671525506097979E-5</v>
      </c>
    </row>
    <row r="818" spans="7:15" x14ac:dyDescent="0.25">
      <c r="G818" s="23">
        <v>42100</v>
      </c>
      <c r="H818" s="22">
        <v>428.86079999999998</v>
      </c>
      <c r="I818">
        <f t="shared" si="24"/>
        <v>4.757014497691614E-5</v>
      </c>
      <c r="J818" s="23">
        <v>42100</v>
      </c>
      <c r="K818" s="22">
        <v>668.00220000000002</v>
      </c>
      <c r="L818">
        <f t="shared" si="24"/>
        <v>5.1798919588508241E-5</v>
      </c>
      <c r="M818" s="23">
        <v>42067</v>
      </c>
      <c r="N818" s="22">
        <v>829.48410000000001</v>
      </c>
      <c r="O818">
        <f t="shared" si="25"/>
        <v>-4.0852080401221347E-4</v>
      </c>
    </row>
    <row r="819" spans="7:15" x14ac:dyDescent="0.25">
      <c r="G819" s="23">
        <v>42101</v>
      </c>
      <c r="H819" s="22">
        <v>428.91629999999998</v>
      </c>
      <c r="I819">
        <f t="shared" si="24"/>
        <v>1.2941262059862346E-4</v>
      </c>
      <c r="J819" s="23">
        <v>42101</v>
      </c>
      <c r="K819" s="22">
        <v>668.26170000000002</v>
      </c>
      <c r="L819">
        <f t="shared" si="24"/>
        <v>3.8847177449419235E-4</v>
      </c>
      <c r="M819" s="23">
        <v>42068</v>
      </c>
      <c r="N819" s="22">
        <v>829.47720000000004</v>
      </c>
      <c r="O819">
        <f t="shared" si="25"/>
        <v>-8.3184234633826293E-6</v>
      </c>
    </row>
    <row r="820" spans="7:15" x14ac:dyDescent="0.25">
      <c r="G820" s="23">
        <v>42102</v>
      </c>
      <c r="H820" s="22">
        <v>429.18349999999998</v>
      </c>
      <c r="I820">
        <f t="shared" si="24"/>
        <v>6.2296536643624556E-4</v>
      </c>
      <c r="J820" s="23">
        <v>42102</v>
      </c>
      <c r="K820" s="22">
        <v>667.75710000000004</v>
      </c>
      <c r="L820">
        <f t="shared" si="24"/>
        <v>-7.5509340128276925E-4</v>
      </c>
      <c r="M820" s="23">
        <v>42069</v>
      </c>
      <c r="N820" s="22">
        <v>829.37689999999998</v>
      </c>
      <c r="O820">
        <f t="shared" si="25"/>
        <v>-1.2091953823456514E-4</v>
      </c>
    </row>
    <row r="821" spans="7:15" x14ac:dyDescent="0.25">
      <c r="G821" s="23">
        <v>42103</v>
      </c>
      <c r="H821" s="22">
        <v>429.18380000000002</v>
      </c>
      <c r="I821">
        <f t="shared" si="24"/>
        <v>6.9900170918124616E-7</v>
      </c>
      <c r="J821" s="23">
        <v>42103</v>
      </c>
      <c r="K821" s="22">
        <v>667.13</v>
      </c>
      <c r="L821">
        <f t="shared" si="24"/>
        <v>-9.3911393828693956E-4</v>
      </c>
      <c r="M821" s="23">
        <v>42072</v>
      </c>
      <c r="N821" s="22">
        <v>829.21889999999996</v>
      </c>
      <c r="O821">
        <f t="shared" si="25"/>
        <v>-1.9050446184365466E-4</v>
      </c>
    </row>
    <row r="822" spans="7:15" x14ac:dyDescent="0.25">
      <c r="G822" s="23">
        <v>42104</v>
      </c>
      <c r="H822" s="22">
        <v>428.93009999999998</v>
      </c>
      <c r="I822">
        <f t="shared" si="24"/>
        <v>-5.9112203209910064E-4</v>
      </c>
      <c r="J822" s="23">
        <v>42104</v>
      </c>
      <c r="K822" s="22">
        <v>666.80619999999999</v>
      </c>
      <c r="L822">
        <f t="shared" si="24"/>
        <v>-4.8536267294230218E-4</v>
      </c>
      <c r="M822" s="23">
        <v>42073</v>
      </c>
      <c r="N822" s="22">
        <v>822.12819999999999</v>
      </c>
      <c r="O822">
        <f t="shared" si="25"/>
        <v>-8.5510593161829407E-3</v>
      </c>
    </row>
    <row r="823" spans="7:15" x14ac:dyDescent="0.25">
      <c r="G823" s="23">
        <v>42107</v>
      </c>
      <c r="H823" s="22">
        <v>428.93040000000002</v>
      </c>
      <c r="I823">
        <f t="shared" si="24"/>
        <v>6.9941465996592456E-7</v>
      </c>
      <c r="J823" s="23">
        <v>42107</v>
      </c>
      <c r="K823" s="22">
        <v>666.7663</v>
      </c>
      <c r="L823">
        <f t="shared" si="24"/>
        <v>-5.983747601623346E-5</v>
      </c>
      <c r="M823" s="23">
        <v>42074</v>
      </c>
      <c r="N823" s="22">
        <v>822.12890000000004</v>
      </c>
      <c r="O823">
        <f t="shared" si="25"/>
        <v>8.5144871575515424E-7</v>
      </c>
    </row>
    <row r="824" spans="7:15" x14ac:dyDescent="0.25">
      <c r="G824" s="23">
        <v>42108</v>
      </c>
      <c r="H824" s="22">
        <v>428.90260000000001</v>
      </c>
      <c r="I824">
        <f t="shared" si="24"/>
        <v>-6.4812379817369425E-5</v>
      </c>
      <c r="J824" s="23">
        <v>42108</v>
      </c>
      <c r="K824" s="22">
        <v>666.75070000000005</v>
      </c>
      <c r="L824">
        <f t="shared" si="24"/>
        <v>-2.3396503392447698E-5</v>
      </c>
      <c r="M824" s="23">
        <v>42075</v>
      </c>
      <c r="N824" s="22">
        <v>821.96370000000002</v>
      </c>
      <c r="O824">
        <f t="shared" si="25"/>
        <v>-2.0094172580487069E-4</v>
      </c>
    </row>
    <row r="825" spans="7:15" x14ac:dyDescent="0.25">
      <c r="G825" s="23">
        <v>42109</v>
      </c>
      <c r="H825" s="22">
        <v>420.4178</v>
      </c>
      <c r="I825">
        <f t="shared" si="24"/>
        <v>-1.978258000767541E-2</v>
      </c>
      <c r="J825" s="23">
        <v>42109</v>
      </c>
      <c r="K825" s="22">
        <v>658.90710000000001</v>
      </c>
      <c r="L825">
        <f t="shared" si="24"/>
        <v>-1.176391715824221E-2</v>
      </c>
      <c r="M825" s="23">
        <v>42076</v>
      </c>
      <c r="N825" s="22">
        <v>821.9624</v>
      </c>
      <c r="O825">
        <f t="shared" si="25"/>
        <v>-1.5815783592776356E-6</v>
      </c>
    </row>
    <row r="826" spans="7:15" x14ac:dyDescent="0.25">
      <c r="G826" s="23">
        <v>42110</v>
      </c>
      <c r="H826" s="22">
        <v>420.36779999999999</v>
      </c>
      <c r="I826">
        <f t="shared" si="24"/>
        <v>-1.1892931269796847E-4</v>
      </c>
      <c r="J826" s="23">
        <v>42110</v>
      </c>
      <c r="K826" s="22">
        <v>658.78179999999998</v>
      </c>
      <c r="L826">
        <f t="shared" si="24"/>
        <v>-1.9016337811517126E-4</v>
      </c>
      <c r="M826" s="23">
        <v>42079</v>
      </c>
      <c r="N826" s="22">
        <v>821.96379999999999</v>
      </c>
      <c r="O826">
        <f t="shared" si="25"/>
        <v>1.7032409267425663E-6</v>
      </c>
    </row>
    <row r="827" spans="7:15" x14ac:dyDescent="0.25">
      <c r="G827" s="23">
        <v>42111</v>
      </c>
      <c r="H827" s="22">
        <v>420.37090000000001</v>
      </c>
      <c r="I827">
        <f t="shared" si="24"/>
        <v>7.3744944308895555E-6</v>
      </c>
      <c r="J827" s="23">
        <v>42111</v>
      </c>
      <c r="K827" s="22">
        <v>658.73850000000004</v>
      </c>
      <c r="L827">
        <f t="shared" si="24"/>
        <v>-6.5727377410729204E-5</v>
      </c>
      <c r="M827" s="23">
        <v>42080</v>
      </c>
      <c r="N827" s="22">
        <v>822.04570000000001</v>
      </c>
      <c r="O827">
        <f t="shared" si="25"/>
        <v>9.9639424509856411E-5</v>
      </c>
    </row>
    <row r="828" spans="7:15" x14ac:dyDescent="0.25">
      <c r="G828" s="23">
        <v>42114</v>
      </c>
      <c r="H828" s="22">
        <v>420.3734</v>
      </c>
      <c r="I828">
        <f t="shared" si="24"/>
        <v>5.9471290709822711E-6</v>
      </c>
      <c r="J828" s="23">
        <v>42114</v>
      </c>
      <c r="K828" s="22">
        <v>658.71299999999997</v>
      </c>
      <c r="L828">
        <f t="shared" si="24"/>
        <v>-3.8710353197912717E-5</v>
      </c>
      <c r="M828" s="23">
        <v>42081</v>
      </c>
      <c r="N828" s="22">
        <v>822.05169999999998</v>
      </c>
      <c r="O828">
        <f t="shared" si="25"/>
        <v>7.2988642845217555E-6</v>
      </c>
    </row>
    <row r="829" spans="7:15" x14ac:dyDescent="0.25">
      <c r="G829" s="23">
        <v>42115</v>
      </c>
      <c r="H829" s="22">
        <v>420.37419999999997</v>
      </c>
      <c r="I829">
        <f t="shared" si="24"/>
        <v>1.9030699849320598E-6</v>
      </c>
      <c r="J829" s="23">
        <v>42115</v>
      </c>
      <c r="K829" s="22">
        <v>658.71789999999999</v>
      </c>
      <c r="L829">
        <f t="shared" si="24"/>
        <v>7.4387479829240988E-6</v>
      </c>
      <c r="M829" s="23">
        <v>42082</v>
      </c>
      <c r="N829" s="22">
        <v>822.14610000000005</v>
      </c>
      <c r="O829">
        <f t="shared" si="25"/>
        <v>1.1483462658135046E-4</v>
      </c>
    </row>
    <row r="830" spans="7:15" x14ac:dyDescent="0.25">
      <c r="G830" s="23">
        <v>42116</v>
      </c>
      <c r="H830" s="22">
        <v>420.39780000000002</v>
      </c>
      <c r="I830">
        <f t="shared" si="24"/>
        <v>5.6140457716180592E-5</v>
      </c>
      <c r="J830" s="23">
        <v>42116</v>
      </c>
      <c r="K830" s="22">
        <v>658.8143</v>
      </c>
      <c r="L830">
        <f t="shared" si="24"/>
        <v>1.4634489210019197E-4</v>
      </c>
      <c r="M830" s="23">
        <v>42083</v>
      </c>
      <c r="N830" s="22">
        <v>822.15110000000004</v>
      </c>
      <c r="O830">
        <f t="shared" si="25"/>
        <v>6.0816441262989684E-6</v>
      </c>
    </row>
    <row r="831" spans="7:15" x14ac:dyDescent="0.25">
      <c r="G831" s="23">
        <v>42117</v>
      </c>
      <c r="H831" s="22">
        <v>420.3768</v>
      </c>
      <c r="I831">
        <f t="shared" si="24"/>
        <v>-4.995268766871952E-5</v>
      </c>
      <c r="J831" s="23">
        <v>42117</v>
      </c>
      <c r="K831" s="22">
        <v>658.8116</v>
      </c>
      <c r="L831">
        <f t="shared" si="24"/>
        <v>-4.0982716981163847E-6</v>
      </c>
      <c r="M831" s="23">
        <v>42086</v>
      </c>
      <c r="N831" s="22">
        <v>822.15229999999997</v>
      </c>
      <c r="O831">
        <f t="shared" si="25"/>
        <v>1.4595857136256996E-6</v>
      </c>
    </row>
    <row r="832" spans="7:15" x14ac:dyDescent="0.25">
      <c r="G832" s="23">
        <v>42118</v>
      </c>
      <c r="H832" s="22">
        <v>420.33109999999999</v>
      </c>
      <c r="I832">
        <f t="shared" si="24"/>
        <v>-1.0871199362094686E-4</v>
      </c>
      <c r="J832" s="23">
        <v>42118</v>
      </c>
      <c r="K832" s="22">
        <v>658.81719999999996</v>
      </c>
      <c r="L832">
        <f t="shared" si="24"/>
        <v>8.5001539134044179E-6</v>
      </c>
      <c r="M832" s="23">
        <v>42087</v>
      </c>
      <c r="N832" s="22">
        <v>823.49180000000001</v>
      </c>
      <c r="O832">
        <f t="shared" si="25"/>
        <v>1.6292601747875946E-3</v>
      </c>
    </row>
    <row r="833" spans="7:15" x14ac:dyDescent="0.25">
      <c r="G833" s="23">
        <v>42121</v>
      </c>
      <c r="H833" s="22">
        <v>420.36110000000002</v>
      </c>
      <c r="I833">
        <f t="shared" si="24"/>
        <v>7.1372306260641949E-5</v>
      </c>
      <c r="J833" s="23">
        <v>42121</v>
      </c>
      <c r="K833" s="22">
        <v>658.79859999999996</v>
      </c>
      <c r="L833">
        <f t="shared" si="24"/>
        <v>-2.8232414090001434E-5</v>
      </c>
      <c r="M833" s="23">
        <v>42088</v>
      </c>
      <c r="N833" s="22">
        <v>823.49180000000001</v>
      </c>
      <c r="O833">
        <f t="shared" si="25"/>
        <v>0</v>
      </c>
    </row>
    <row r="834" spans="7:15" x14ac:dyDescent="0.25">
      <c r="G834" s="23">
        <v>42122</v>
      </c>
      <c r="H834" s="22">
        <v>420.33240000000001</v>
      </c>
      <c r="I834">
        <f t="shared" si="24"/>
        <v>-6.8274633404530327E-5</v>
      </c>
      <c r="J834" s="23">
        <v>42122</v>
      </c>
      <c r="K834" s="22">
        <v>658.63260000000002</v>
      </c>
      <c r="L834">
        <f t="shared" si="24"/>
        <v>-2.5197382022357218E-4</v>
      </c>
      <c r="M834" s="23">
        <v>42089</v>
      </c>
      <c r="N834" s="22">
        <v>836.18299999999999</v>
      </c>
      <c r="O834">
        <f t="shared" si="25"/>
        <v>1.5411446719930888E-2</v>
      </c>
    </row>
    <row r="835" spans="7:15" x14ac:dyDescent="0.25">
      <c r="G835" s="23">
        <v>42123</v>
      </c>
      <c r="H835" s="22">
        <v>420.33600000000001</v>
      </c>
      <c r="I835">
        <f t="shared" si="24"/>
        <v>8.5646502625547072E-6</v>
      </c>
      <c r="J835" s="23">
        <v>42123</v>
      </c>
      <c r="K835" s="22">
        <v>658.58399999999995</v>
      </c>
      <c r="L835">
        <f t="shared" si="24"/>
        <v>-7.3789241528676719E-5</v>
      </c>
      <c r="M835" s="23">
        <v>42090</v>
      </c>
      <c r="N835" s="22">
        <v>836.00710000000004</v>
      </c>
      <c r="O835">
        <f t="shared" si="25"/>
        <v>-2.1036065071877719E-4</v>
      </c>
    </row>
    <row r="836" spans="7:15" x14ac:dyDescent="0.25">
      <c r="G836" s="23">
        <v>42124</v>
      </c>
      <c r="H836" s="22">
        <v>420.83199999999999</v>
      </c>
      <c r="I836">
        <f t="shared" ref="I836:L899" si="26">H836/H835-1</f>
        <v>1.1800083742530276E-3</v>
      </c>
      <c r="J836" s="23">
        <v>42124</v>
      </c>
      <c r="K836" s="22">
        <v>659.21450000000004</v>
      </c>
      <c r="L836">
        <f t="shared" si="26"/>
        <v>9.5735699622223613E-4</v>
      </c>
      <c r="M836" s="23">
        <v>42093</v>
      </c>
      <c r="N836" s="22">
        <v>836.55510000000004</v>
      </c>
      <c r="O836">
        <f t="shared" ref="O836:O899" si="27">N836/N835-1</f>
        <v>6.554968253260629E-4</v>
      </c>
    </row>
    <row r="837" spans="7:15" x14ac:dyDescent="0.25">
      <c r="G837" s="23">
        <v>42125</v>
      </c>
      <c r="H837" s="22">
        <v>420.81459999999998</v>
      </c>
      <c r="I837">
        <f t="shared" si="26"/>
        <v>-4.1346665652808312E-5</v>
      </c>
      <c r="J837" s="23">
        <v>42125</v>
      </c>
      <c r="K837" s="22">
        <v>659.09280000000001</v>
      </c>
      <c r="L837">
        <f t="shared" si="26"/>
        <v>-1.846136576183488E-4</v>
      </c>
      <c r="M837" s="23">
        <v>42094</v>
      </c>
      <c r="N837" s="22">
        <v>836.53579999999999</v>
      </c>
      <c r="O837">
        <f t="shared" si="27"/>
        <v>-2.3070805497460434E-5</v>
      </c>
    </row>
    <row r="838" spans="7:15" x14ac:dyDescent="0.25">
      <c r="G838" s="23">
        <v>42128</v>
      </c>
      <c r="H838" s="22">
        <v>421.00549999999998</v>
      </c>
      <c r="I838">
        <f t="shared" si="26"/>
        <v>4.5364395626967813E-4</v>
      </c>
      <c r="J838" s="23">
        <v>42128</v>
      </c>
      <c r="K838" s="22">
        <v>658.5027</v>
      </c>
      <c r="L838">
        <f t="shared" si="26"/>
        <v>-8.9532156928429085E-4</v>
      </c>
      <c r="M838" s="23">
        <v>42095</v>
      </c>
      <c r="N838" s="22">
        <v>836.55079999999998</v>
      </c>
      <c r="O838">
        <f t="shared" si="27"/>
        <v>1.7931091532474852E-5</v>
      </c>
    </row>
    <row r="839" spans="7:15" x14ac:dyDescent="0.25">
      <c r="G839" s="23">
        <v>42129</v>
      </c>
      <c r="H839" s="22">
        <v>420.75689999999997</v>
      </c>
      <c r="I839">
        <f t="shared" si="26"/>
        <v>-5.9049109809727884E-4</v>
      </c>
      <c r="J839" s="23">
        <v>42129</v>
      </c>
      <c r="K839" s="22">
        <v>658.06740000000002</v>
      </c>
      <c r="L839">
        <f t="shared" si="26"/>
        <v>-6.6104512555531514E-4</v>
      </c>
      <c r="M839" s="23">
        <v>42096</v>
      </c>
      <c r="N839" s="22">
        <v>836.69560000000001</v>
      </c>
      <c r="O839">
        <f t="shared" si="27"/>
        <v>1.730916998705645E-4</v>
      </c>
    </row>
    <row r="840" spans="7:15" x14ac:dyDescent="0.25">
      <c r="G840" s="23">
        <v>42130</v>
      </c>
      <c r="H840" s="22">
        <v>420.38979999999998</v>
      </c>
      <c r="I840">
        <f t="shared" si="26"/>
        <v>-8.7247529392864287E-4</v>
      </c>
      <c r="J840" s="23">
        <v>42130</v>
      </c>
      <c r="K840" s="22">
        <v>657.7808</v>
      </c>
      <c r="L840">
        <f t="shared" si="26"/>
        <v>-4.355176992508758E-4</v>
      </c>
      <c r="M840" s="23">
        <v>42097</v>
      </c>
      <c r="N840" s="22">
        <v>836.69680000000005</v>
      </c>
      <c r="O840">
        <f t="shared" si="27"/>
        <v>1.4342133507483368E-6</v>
      </c>
    </row>
    <row r="841" spans="7:15" x14ac:dyDescent="0.25">
      <c r="G841" s="23">
        <v>42131</v>
      </c>
      <c r="H841" s="22">
        <v>414.25880000000001</v>
      </c>
      <c r="I841">
        <f t="shared" si="26"/>
        <v>-1.4584083629050837E-2</v>
      </c>
      <c r="J841" s="23">
        <v>42131</v>
      </c>
      <c r="K841" s="22">
        <v>648.56179999999995</v>
      </c>
      <c r="L841">
        <f t="shared" si="26"/>
        <v>-1.4015307226966867E-2</v>
      </c>
      <c r="M841" s="23">
        <v>42100</v>
      </c>
      <c r="N841" s="22">
        <v>836.53620000000001</v>
      </c>
      <c r="O841">
        <f t="shared" si="27"/>
        <v>-1.9194527814625495E-4</v>
      </c>
    </row>
    <row r="842" spans="7:15" x14ac:dyDescent="0.25">
      <c r="G842" s="23">
        <v>42132</v>
      </c>
      <c r="H842" s="22">
        <v>414.22910000000002</v>
      </c>
      <c r="I842">
        <f t="shared" si="26"/>
        <v>-7.1694312830494766E-5</v>
      </c>
      <c r="J842" s="23">
        <v>42132</v>
      </c>
      <c r="K842" s="22">
        <v>648.08040000000005</v>
      </c>
      <c r="L842">
        <f t="shared" si="26"/>
        <v>-7.4225771545577413E-4</v>
      </c>
      <c r="M842" s="23">
        <v>42101</v>
      </c>
      <c r="N842" s="22">
        <v>836.99379999999996</v>
      </c>
      <c r="O842">
        <f t="shared" si="27"/>
        <v>5.470175707877889E-4</v>
      </c>
    </row>
    <row r="843" spans="7:15" x14ac:dyDescent="0.25">
      <c r="G843" s="23">
        <v>42135</v>
      </c>
      <c r="H843" s="22">
        <v>414.23009999999999</v>
      </c>
      <c r="I843">
        <f t="shared" si="26"/>
        <v>2.4141230057228569E-6</v>
      </c>
      <c r="J843" s="23">
        <v>42135</v>
      </c>
      <c r="K843" s="22">
        <v>647.24609999999996</v>
      </c>
      <c r="L843">
        <f t="shared" si="26"/>
        <v>-1.287340274447546E-3</v>
      </c>
      <c r="M843" s="23">
        <v>42102</v>
      </c>
      <c r="N843" s="22">
        <v>837.08659999999998</v>
      </c>
      <c r="O843">
        <f t="shared" si="27"/>
        <v>1.1087298376644128E-4</v>
      </c>
    </row>
    <row r="844" spans="7:15" x14ac:dyDescent="0.25">
      <c r="G844" s="23">
        <v>42136</v>
      </c>
      <c r="H844" s="22">
        <v>409.47899999999998</v>
      </c>
      <c r="I844">
        <f t="shared" si="26"/>
        <v>-1.1469712123768905E-2</v>
      </c>
      <c r="J844" s="23">
        <v>42136</v>
      </c>
      <c r="K844" s="22">
        <v>624.86599999999999</v>
      </c>
      <c r="L844">
        <f t="shared" si="26"/>
        <v>-3.4577419624467365E-2</v>
      </c>
      <c r="M844" s="23">
        <v>42103</v>
      </c>
      <c r="N844" s="22">
        <v>837.04290000000003</v>
      </c>
      <c r="O844">
        <f t="shared" si="27"/>
        <v>-5.2204873426386911E-5</v>
      </c>
    </row>
    <row r="845" spans="7:15" x14ac:dyDescent="0.25">
      <c r="G845" s="23">
        <v>42137</v>
      </c>
      <c r="H845" s="22">
        <v>409.26510000000002</v>
      </c>
      <c r="I845">
        <f t="shared" si="26"/>
        <v>-5.2237111060637886E-4</v>
      </c>
      <c r="J845" s="23">
        <v>42137</v>
      </c>
      <c r="K845" s="22">
        <v>624.35670000000005</v>
      </c>
      <c r="L845">
        <f t="shared" si="26"/>
        <v>-8.1505474773779785E-4</v>
      </c>
      <c r="M845" s="23">
        <v>42104</v>
      </c>
      <c r="N845" s="22">
        <v>837.05169999999998</v>
      </c>
      <c r="O845">
        <f t="shared" si="27"/>
        <v>1.051320069733741E-5</v>
      </c>
    </row>
    <row r="846" spans="7:15" x14ac:dyDescent="0.25">
      <c r="G846" s="23">
        <v>42138</v>
      </c>
      <c r="H846" s="22">
        <v>409.16820000000001</v>
      </c>
      <c r="I846">
        <f t="shared" si="26"/>
        <v>-2.3676585176701792E-4</v>
      </c>
      <c r="J846" s="23">
        <v>42138</v>
      </c>
      <c r="K846" s="22">
        <v>624.35040000000004</v>
      </c>
      <c r="L846">
        <f t="shared" si="26"/>
        <v>-1.0090385832328685E-5</v>
      </c>
      <c r="M846" s="23">
        <v>42107</v>
      </c>
      <c r="N846" s="22">
        <v>836.91869999999994</v>
      </c>
      <c r="O846">
        <f t="shared" si="27"/>
        <v>-1.5889102190469462E-4</v>
      </c>
    </row>
    <row r="847" spans="7:15" x14ac:dyDescent="0.25">
      <c r="G847" s="23">
        <v>42139</v>
      </c>
      <c r="H847" s="22">
        <v>409.16820000000001</v>
      </c>
      <c r="I847">
        <f t="shared" si="26"/>
        <v>0</v>
      </c>
      <c r="J847" s="23">
        <v>42139</v>
      </c>
      <c r="K847" s="22">
        <v>624.35040000000004</v>
      </c>
      <c r="L847">
        <f t="shared" si="26"/>
        <v>0</v>
      </c>
      <c r="M847" s="23">
        <v>42108</v>
      </c>
      <c r="N847" s="22">
        <v>836.88210000000004</v>
      </c>
      <c r="O847">
        <f t="shared" si="27"/>
        <v>-4.3731846354866377E-5</v>
      </c>
    </row>
    <row r="848" spans="7:15" x14ac:dyDescent="0.25">
      <c r="G848" s="23">
        <v>42142</v>
      </c>
      <c r="H848" s="22">
        <v>408.85700000000003</v>
      </c>
      <c r="I848">
        <f t="shared" si="26"/>
        <v>-7.6056741457419808E-4</v>
      </c>
      <c r="J848" s="23">
        <v>42142</v>
      </c>
      <c r="K848" s="22">
        <v>624.09929999999997</v>
      </c>
      <c r="L848">
        <f t="shared" si="26"/>
        <v>-4.0217800773423296E-4</v>
      </c>
      <c r="M848" s="23">
        <v>42109</v>
      </c>
      <c r="N848" s="22">
        <v>836.36519999999996</v>
      </c>
      <c r="O848">
        <f t="shared" si="27"/>
        <v>-6.1764972628775006E-4</v>
      </c>
    </row>
    <row r="849" spans="7:15" x14ac:dyDescent="0.25">
      <c r="G849" s="23">
        <v>42143</v>
      </c>
      <c r="H849" s="22">
        <v>408.73489999999998</v>
      </c>
      <c r="I849">
        <f t="shared" si="26"/>
        <v>-2.9863742090763257E-4</v>
      </c>
      <c r="J849" s="23">
        <v>42143</v>
      </c>
      <c r="K849" s="22">
        <v>624.20659999999998</v>
      </c>
      <c r="L849">
        <f t="shared" si="26"/>
        <v>1.7192776854590974E-4</v>
      </c>
      <c r="M849" s="23">
        <v>42110</v>
      </c>
      <c r="N849" s="22">
        <v>836.35090000000002</v>
      </c>
      <c r="O849">
        <f t="shared" si="27"/>
        <v>-1.7097794121401222E-5</v>
      </c>
    </row>
    <row r="850" spans="7:15" x14ac:dyDescent="0.25">
      <c r="G850" s="23">
        <v>42144</v>
      </c>
      <c r="H850" s="22">
        <v>408.69069999999999</v>
      </c>
      <c r="I850">
        <f t="shared" si="26"/>
        <v>-1.0813855141800222E-4</v>
      </c>
      <c r="J850" s="23">
        <v>42144</v>
      </c>
      <c r="K850" s="22">
        <v>623.9058</v>
      </c>
      <c r="L850">
        <f t="shared" si="26"/>
        <v>-4.8189173264101548E-4</v>
      </c>
      <c r="M850" s="23">
        <v>42111</v>
      </c>
      <c r="N850" s="22">
        <v>836.36059999999998</v>
      </c>
      <c r="O850">
        <f t="shared" si="27"/>
        <v>1.1598002704227284E-5</v>
      </c>
    </row>
    <row r="851" spans="7:15" x14ac:dyDescent="0.25">
      <c r="G851" s="23">
        <v>42145</v>
      </c>
      <c r="H851" s="22">
        <v>408.65980000000002</v>
      </c>
      <c r="I851">
        <f t="shared" si="26"/>
        <v>-7.5607299113933379E-5</v>
      </c>
      <c r="J851" s="23">
        <v>42145</v>
      </c>
      <c r="K851" s="22">
        <v>623.10199999999998</v>
      </c>
      <c r="L851">
        <f t="shared" si="26"/>
        <v>-1.2883355147523812E-3</v>
      </c>
      <c r="M851" s="23">
        <v>42114</v>
      </c>
      <c r="N851" s="22">
        <v>836.31989999999996</v>
      </c>
      <c r="O851">
        <f t="shared" si="27"/>
        <v>-4.8663220146960562E-5</v>
      </c>
    </row>
    <row r="852" spans="7:15" x14ac:dyDescent="0.25">
      <c r="G852" s="23">
        <v>42146</v>
      </c>
      <c r="H852" s="22">
        <v>408.69729999999998</v>
      </c>
      <c r="I852">
        <f t="shared" si="26"/>
        <v>9.1763368943897916E-5</v>
      </c>
      <c r="J852" s="23">
        <v>42146</v>
      </c>
      <c r="K852" s="22">
        <v>622.34249999999997</v>
      </c>
      <c r="L852">
        <f t="shared" si="26"/>
        <v>-1.2189015602581676E-3</v>
      </c>
      <c r="M852" s="23">
        <v>42115</v>
      </c>
      <c r="N852" s="22">
        <v>836.28070000000002</v>
      </c>
      <c r="O852">
        <f t="shared" si="27"/>
        <v>-4.6872016318033616E-5</v>
      </c>
    </row>
    <row r="853" spans="7:15" x14ac:dyDescent="0.25">
      <c r="G853" s="23">
        <v>42149</v>
      </c>
      <c r="H853" s="22">
        <v>408.69729999999998</v>
      </c>
      <c r="I853">
        <f t="shared" si="26"/>
        <v>0</v>
      </c>
      <c r="J853" s="23">
        <v>42149</v>
      </c>
      <c r="K853" s="22">
        <v>622.34249999999997</v>
      </c>
      <c r="L853">
        <f t="shared" si="26"/>
        <v>0</v>
      </c>
      <c r="M853" s="23">
        <v>42116</v>
      </c>
      <c r="N853" s="22">
        <v>836.29920000000004</v>
      </c>
      <c r="O853">
        <f t="shared" si="27"/>
        <v>2.2121758878279607E-5</v>
      </c>
    </row>
    <row r="854" spans="7:15" x14ac:dyDescent="0.25">
      <c r="G854" s="23">
        <v>42150</v>
      </c>
      <c r="H854" s="22">
        <v>408.69929999999999</v>
      </c>
      <c r="I854">
        <f t="shared" si="26"/>
        <v>4.8935972907226954E-6</v>
      </c>
      <c r="J854" s="23">
        <v>42150</v>
      </c>
      <c r="K854" s="22">
        <v>622.04480000000001</v>
      </c>
      <c r="L854">
        <f t="shared" si="26"/>
        <v>-4.7835396104234373E-4</v>
      </c>
      <c r="M854" s="23">
        <v>42117</v>
      </c>
      <c r="N854" s="22">
        <v>836.17269999999996</v>
      </c>
      <c r="O854">
        <f t="shared" si="27"/>
        <v>-1.51261653724033E-4</v>
      </c>
    </row>
    <row r="855" spans="7:15" x14ac:dyDescent="0.25">
      <c r="G855" s="23">
        <v>42151</v>
      </c>
      <c r="H855" s="22">
        <v>398.12650000000002</v>
      </c>
      <c r="I855">
        <f t="shared" si="26"/>
        <v>-2.5869386123245075E-2</v>
      </c>
      <c r="J855" s="23">
        <v>42151</v>
      </c>
      <c r="K855" s="22">
        <v>615.89689999999996</v>
      </c>
      <c r="L855">
        <f t="shared" si="26"/>
        <v>-9.8833717442859959E-3</v>
      </c>
      <c r="M855" s="23">
        <v>42118</v>
      </c>
      <c r="N855" s="22">
        <v>836.18889999999999</v>
      </c>
      <c r="O855">
        <f t="shared" si="27"/>
        <v>1.9373988172644019E-5</v>
      </c>
    </row>
    <row r="856" spans="7:15" x14ac:dyDescent="0.25">
      <c r="G856" s="23">
        <v>42152</v>
      </c>
      <c r="H856" s="22">
        <v>399.23599999999999</v>
      </c>
      <c r="I856">
        <f t="shared" si="26"/>
        <v>2.7868026870856433E-3</v>
      </c>
      <c r="J856" s="23">
        <v>42152</v>
      </c>
      <c r="K856" s="22">
        <v>615.59990000000005</v>
      </c>
      <c r="L856">
        <f t="shared" si="26"/>
        <v>-4.8222356696370205E-4</v>
      </c>
      <c r="M856" s="23">
        <v>42121</v>
      </c>
      <c r="N856" s="22">
        <v>836.20270000000005</v>
      </c>
      <c r="O856">
        <f t="shared" si="27"/>
        <v>1.6503447965110496E-5</v>
      </c>
    </row>
    <row r="857" spans="7:15" x14ac:dyDescent="0.25">
      <c r="G857" s="23">
        <v>42153</v>
      </c>
      <c r="H857" s="22">
        <v>399.75650000000002</v>
      </c>
      <c r="I857">
        <f t="shared" si="26"/>
        <v>1.3037401436744034E-3</v>
      </c>
      <c r="J857" s="23">
        <v>42153</v>
      </c>
      <c r="K857" s="22">
        <v>615.9425</v>
      </c>
      <c r="L857">
        <f t="shared" si="26"/>
        <v>5.5653030482938348E-4</v>
      </c>
      <c r="M857" s="23">
        <v>42122</v>
      </c>
      <c r="N857" s="22">
        <v>836.07159999999999</v>
      </c>
      <c r="O857">
        <f t="shared" si="27"/>
        <v>-1.5678016825348973E-4</v>
      </c>
    </row>
    <row r="858" spans="7:15" x14ac:dyDescent="0.25">
      <c r="G858" s="23">
        <v>42156</v>
      </c>
      <c r="H858" s="22">
        <v>399.75880000000001</v>
      </c>
      <c r="I858">
        <f t="shared" si="26"/>
        <v>5.7535024446941918E-6</v>
      </c>
      <c r="J858" s="23">
        <v>42156</v>
      </c>
      <c r="K858" s="22">
        <v>615.9144</v>
      </c>
      <c r="L858">
        <f t="shared" si="26"/>
        <v>-4.5621141583795932E-5</v>
      </c>
      <c r="M858" s="23">
        <v>42123</v>
      </c>
      <c r="N858" s="22">
        <v>836.07579999999996</v>
      </c>
      <c r="O858">
        <f t="shared" si="27"/>
        <v>5.0234932031933965E-6</v>
      </c>
    </row>
    <row r="859" spans="7:15" x14ac:dyDescent="0.25">
      <c r="G859" s="23">
        <v>42157</v>
      </c>
      <c r="H859" s="22">
        <v>399.87470000000002</v>
      </c>
      <c r="I859">
        <f t="shared" si="26"/>
        <v>2.8992482466927427E-4</v>
      </c>
      <c r="J859" s="23">
        <v>42157</v>
      </c>
      <c r="K859" s="22">
        <v>614.91679999999997</v>
      </c>
      <c r="L859">
        <f t="shared" si="26"/>
        <v>-1.6197055954528805E-3</v>
      </c>
      <c r="M859" s="23">
        <v>42124</v>
      </c>
      <c r="N859" s="22">
        <v>837.23760000000004</v>
      </c>
      <c r="O859">
        <f t="shared" si="27"/>
        <v>1.3895869250133419E-3</v>
      </c>
    </row>
    <row r="860" spans="7:15" x14ac:dyDescent="0.25">
      <c r="G860" s="23">
        <v>42158</v>
      </c>
      <c r="H860" s="22">
        <v>399.21870000000001</v>
      </c>
      <c r="I860">
        <f t="shared" si="26"/>
        <v>-1.6405138909764139E-3</v>
      </c>
      <c r="J860" s="23">
        <v>42158</v>
      </c>
      <c r="K860" s="22">
        <v>614.22990000000004</v>
      </c>
      <c r="L860">
        <f t="shared" si="26"/>
        <v>-1.1170616902967945E-3</v>
      </c>
      <c r="M860" s="23">
        <v>42125</v>
      </c>
      <c r="N860" s="22">
        <v>836.16160000000002</v>
      </c>
      <c r="O860">
        <f t="shared" si="27"/>
        <v>-1.2851787831793526E-3</v>
      </c>
    </row>
    <row r="861" spans="7:15" x14ac:dyDescent="0.25">
      <c r="G861" s="23">
        <v>42159</v>
      </c>
      <c r="H861" s="22">
        <v>399.35120000000001</v>
      </c>
      <c r="I861">
        <f t="shared" si="26"/>
        <v>3.3189828031598978E-4</v>
      </c>
      <c r="J861" s="23">
        <v>42159</v>
      </c>
      <c r="K861" s="22">
        <v>613.49199999999996</v>
      </c>
      <c r="L861">
        <f t="shared" si="26"/>
        <v>-1.2013417126064407E-3</v>
      </c>
      <c r="M861" s="23">
        <v>42128</v>
      </c>
      <c r="N861" s="22">
        <v>834.8383</v>
      </c>
      <c r="O861">
        <f t="shared" si="27"/>
        <v>-1.5825888201514982E-3</v>
      </c>
    </row>
    <row r="862" spans="7:15" x14ac:dyDescent="0.25">
      <c r="G862" s="23">
        <v>42160</v>
      </c>
      <c r="H862" s="22">
        <v>399.04419999999999</v>
      </c>
      <c r="I862">
        <f t="shared" si="26"/>
        <v>-7.6874690748396368E-4</v>
      </c>
      <c r="J862" s="23">
        <v>42160</v>
      </c>
      <c r="K862" s="22">
        <v>612.96659999999997</v>
      </c>
      <c r="L862">
        <f t="shared" si="26"/>
        <v>-8.5640888552740435E-4</v>
      </c>
      <c r="M862" s="23">
        <v>42129</v>
      </c>
      <c r="N862" s="22">
        <v>834.69839999999999</v>
      </c>
      <c r="O862">
        <f t="shared" si="27"/>
        <v>-1.6757736198735884E-4</v>
      </c>
    </row>
    <row r="863" spans="7:15" x14ac:dyDescent="0.25">
      <c r="G863" s="23">
        <v>42163</v>
      </c>
      <c r="H863" s="22">
        <v>399.05149999999998</v>
      </c>
      <c r="I863">
        <f t="shared" si="26"/>
        <v>1.8293712826800146E-5</v>
      </c>
      <c r="J863" s="23">
        <v>42163</v>
      </c>
      <c r="K863" s="22">
        <v>612.87149999999997</v>
      </c>
      <c r="L863">
        <f t="shared" si="26"/>
        <v>-1.5514711568298534E-4</v>
      </c>
      <c r="M863" s="23">
        <v>42130</v>
      </c>
      <c r="N863" s="22">
        <v>834.60170000000005</v>
      </c>
      <c r="O863">
        <f t="shared" si="27"/>
        <v>-1.1585022805837841E-4</v>
      </c>
    </row>
    <row r="864" spans="7:15" x14ac:dyDescent="0.25">
      <c r="G864" s="23">
        <v>42164</v>
      </c>
      <c r="H864" s="22">
        <v>399.04109999999997</v>
      </c>
      <c r="I864">
        <f t="shared" si="26"/>
        <v>-2.6061799040966172E-5</v>
      </c>
      <c r="J864" s="23">
        <v>42164</v>
      </c>
      <c r="K864" s="22">
        <v>612.67439999999999</v>
      </c>
      <c r="L864">
        <f t="shared" si="26"/>
        <v>-3.2160085760224444E-4</v>
      </c>
      <c r="M864" s="23">
        <v>42131</v>
      </c>
      <c r="N864" s="22">
        <v>817.46280000000002</v>
      </c>
      <c r="O864">
        <f t="shared" si="27"/>
        <v>-2.053542426285504E-2</v>
      </c>
    </row>
    <row r="865" spans="7:15" x14ac:dyDescent="0.25">
      <c r="G865" s="23">
        <v>42165</v>
      </c>
      <c r="H865" s="22">
        <v>399.09859999999998</v>
      </c>
      <c r="I865">
        <f t="shared" si="26"/>
        <v>1.4409543277627002E-4</v>
      </c>
      <c r="J865" s="23">
        <v>42165</v>
      </c>
      <c r="K865" s="22">
        <v>612.67750000000001</v>
      </c>
      <c r="L865">
        <f t="shared" si="26"/>
        <v>5.0597837937260692E-6</v>
      </c>
      <c r="M865" s="23">
        <v>42132</v>
      </c>
      <c r="N865" s="22">
        <v>816.73080000000004</v>
      </c>
      <c r="O865">
        <f t="shared" si="27"/>
        <v>-8.9545359128262447E-4</v>
      </c>
    </row>
    <row r="866" spans="7:15" x14ac:dyDescent="0.25">
      <c r="G866" s="23">
        <v>42166</v>
      </c>
      <c r="H866" s="22">
        <v>399.56380000000001</v>
      </c>
      <c r="I866">
        <f t="shared" si="26"/>
        <v>1.1656267398583164E-3</v>
      </c>
      <c r="J866" s="23">
        <v>42166</v>
      </c>
      <c r="K866" s="22">
        <v>613.02940000000001</v>
      </c>
      <c r="L866">
        <f t="shared" si="26"/>
        <v>5.7436416385447941E-4</v>
      </c>
      <c r="M866" s="23">
        <v>42135</v>
      </c>
      <c r="N866" s="22">
        <v>816.36609999999996</v>
      </c>
      <c r="O866">
        <f t="shared" si="27"/>
        <v>-4.4653636179770029E-4</v>
      </c>
    </row>
    <row r="867" spans="7:15" x14ac:dyDescent="0.25">
      <c r="G867" s="23">
        <v>42167</v>
      </c>
      <c r="H867" s="22">
        <v>399.56740000000002</v>
      </c>
      <c r="I867">
        <f t="shared" si="26"/>
        <v>9.0098252143455682E-6</v>
      </c>
      <c r="J867" s="23">
        <v>42167</v>
      </c>
      <c r="K867" s="22">
        <v>613.12530000000004</v>
      </c>
      <c r="L867">
        <f t="shared" si="26"/>
        <v>1.5643621659910956E-4</v>
      </c>
      <c r="M867" s="23">
        <v>42136</v>
      </c>
      <c r="N867" s="22">
        <v>792.32339999999999</v>
      </c>
      <c r="O867">
        <f t="shared" si="27"/>
        <v>-2.9450879942221952E-2</v>
      </c>
    </row>
    <row r="868" spans="7:15" x14ac:dyDescent="0.25">
      <c r="G868" s="23">
        <v>42170</v>
      </c>
      <c r="H868" s="22">
        <v>407.30549999999999</v>
      </c>
      <c r="I868">
        <f t="shared" si="26"/>
        <v>1.9366194539394366E-2</v>
      </c>
      <c r="J868" s="23">
        <v>42170</v>
      </c>
      <c r="K868" s="22">
        <v>615.02859999999998</v>
      </c>
      <c r="L868">
        <f t="shared" si="26"/>
        <v>3.1042594393020373E-3</v>
      </c>
      <c r="M868" s="23">
        <v>42137</v>
      </c>
      <c r="N868" s="22">
        <v>792.25450000000001</v>
      </c>
      <c r="O868">
        <f t="shared" si="27"/>
        <v>-8.6959441056522202E-5</v>
      </c>
    </row>
    <row r="869" spans="7:15" x14ac:dyDescent="0.25">
      <c r="G869" s="23">
        <v>42171</v>
      </c>
      <c r="H869" s="22">
        <v>407.3023</v>
      </c>
      <c r="I869">
        <f t="shared" si="26"/>
        <v>-7.8565106534922435E-6</v>
      </c>
      <c r="J869" s="23">
        <v>42171</v>
      </c>
      <c r="K869" s="22">
        <v>615.10559999999998</v>
      </c>
      <c r="L869">
        <f t="shared" si="26"/>
        <v>1.2519742984307136E-4</v>
      </c>
      <c r="M869" s="23">
        <v>42138</v>
      </c>
      <c r="N869" s="22">
        <v>792.08770000000004</v>
      </c>
      <c r="O869">
        <f t="shared" si="27"/>
        <v>-2.1053840653473266E-4</v>
      </c>
    </row>
    <row r="870" spans="7:15" x14ac:dyDescent="0.25">
      <c r="G870" s="23">
        <v>42172</v>
      </c>
      <c r="H870" s="22">
        <v>407.30419999999998</v>
      </c>
      <c r="I870">
        <f t="shared" si="26"/>
        <v>4.664839849954916E-6</v>
      </c>
      <c r="J870" s="23">
        <v>42172</v>
      </c>
      <c r="K870" s="22">
        <v>615.15369999999996</v>
      </c>
      <c r="L870">
        <f t="shared" si="26"/>
        <v>7.8197954952674564E-5</v>
      </c>
      <c r="M870" s="23">
        <v>42139</v>
      </c>
      <c r="N870" s="22">
        <v>792.08770000000004</v>
      </c>
      <c r="O870">
        <f t="shared" si="27"/>
        <v>0</v>
      </c>
    </row>
    <row r="871" spans="7:15" x14ac:dyDescent="0.25">
      <c r="G871" s="23">
        <v>42173</v>
      </c>
      <c r="H871" s="22">
        <v>407.42250000000001</v>
      </c>
      <c r="I871">
        <f t="shared" si="26"/>
        <v>2.9044630524310833E-4</v>
      </c>
      <c r="J871" s="23">
        <v>42173</v>
      </c>
      <c r="K871" s="22">
        <v>615.68669999999997</v>
      </c>
      <c r="L871">
        <f t="shared" si="26"/>
        <v>8.6645012457875481E-4</v>
      </c>
      <c r="M871" s="23">
        <v>42142</v>
      </c>
      <c r="N871" s="22">
        <v>792.01559999999995</v>
      </c>
      <c r="O871">
        <f t="shared" si="27"/>
        <v>-9.1025274095435371E-5</v>
      </c>
    </row>
    <row r="872" spans="7:15" x14ac:dyDescent="0.25">
      <c r="G872" s="23">
        <v>42174</v>
      </c>
      <c r="H872" s="22">
        <v>407.71289999999999</v>
      </c>
      <c r="I872">
        <f t="shared" si="26"/>
        <v>7.127735949781222E-4</v>
      </c>
      <c r="J872" s="23">
        <v>42174</v>
      </c>
      <c r="K872" s="22">
        <v>615.92439999999999</v>
      </c>
      <c r="L872">
        <f t="shared" si="26"/>
        <v>3.8607298159920589E-4</v>
      </c>
      <c r="M872" s="23">
        <v>42143</v>
      </c>
      <c r="N872" s="22">
        <v>792.01530000000002</v>
      </c>
      <c r="O872">
        <f t="shared" si="27"/>
        <v>-3.787804179200549E-7</v>
      </c>
    </row>
    <row r="873" spans="7:15" x14ac:dyDescent="0.25">
      <c r="G873" s="23">
        <v>42177</v>
      </c>
      <c r="H873" s="22">
        <v>407.82249999999999</v>
      </c>
      <c r="I873">
        <f t="shared" si="26"/>
        <v>2.6881661090438769E-4</v>
      </c>
      <c r="J873" s="23">
        <v>42177</v>
      </c>
      <c r="K873" s="22">
        <v>615.99099999999999</v>
      </c>
      <c r="L873">
        <f t="shared" si="26"/>
        <v>1.0813015363564382E-4</v>
      </c>
      <c r="M873" s="23">
        <v>42144</v>
      </c>
      <c r="N873" s="22">
        <v>776.6671</v>
      </c>
      <c r="O873">
        <f t="shared" si="27"/>
        <v>-1.9378666043446402E-2</v>
      </c>
    </row>
    <row r="874" spans="7:15" x14ac:dyDescent="0.25">
      <c r="G874" s="23">
        <v>42178</v>
      </c>
      <c r="H874" s="22">
        <v>408.41129999999998</v>
      </c>
      <c r="I874">
        <f t="shared" si="26"/>
        <v>1.4437653636079073E-3</v>
      </c>
      <c r="J874" s="23">
        <v>42178</v>
      </c>
      <c r="K874" s="22">
        <v>616.63210000000004</v>
      </c>
      <c r="L874">
        <f t="shared" si="26"/>
        <v>1.0407619591845663E-3</v>
      </c>
      <c r="M874" s="23">
        <v>42145</v>
      </c>
      <c r="N874" s="22">
        <v>776.42089999999996</v>
      </c>
      <c r="O874">
        <f t="shared" si="27"/>
        <v>-3.1699553129005409E-4</v>
      </c>
    </row>
    <row r="875" spans="7:15" x14ac:dyDescent="0.25">
      <c r="G875" s="23">
        <v>42179</v>
      </c>
      <c r="H875" s="22">
        <v>408.41969999999998</v>
      </c>
      <c r="I875">
        <f t="shared" si="26"/>
        <v>2.056750143797359E-5</v>
      </c>
      <c r="J875" s="23">
        <v>42179</v>
      </c>
      <c r="K875" s="22">
        <v>616.64760000000001</v>
      </c>
      <c r="L875">
        <f t="shared" si="26"/>
        <v>2.5136544140380579E-5</v>
      </c>
      <c r="M875" s="23">
        <v>42146</v>
      </c>
      <c r="N875" s="22">
        <v>776.42070000000001</v>
      </c>
      <c r="O875">
        <f t="shared" si="27"/>
        <v>-2.5759224142607451E-7</v>
      </c>
    </row>
    <row r="876" spans="7:15" x14ac:dyDescent="0.25">
      <c r="G876" s="23">
        <v>42180</v>
      </c>
      <c r="H876" s="22">
        <v>415.32979999999998</v>
      </c>
      <c r="I876">
        <f t="shared" si="26"/>
        <v>1.6919115312018507E-2</v>
      </c>
      <c r="J876" s="23">
        <v>42180</v>
      </c>
      <c r="K876" s="22">
        <v>625.20460000000003</v>
      </c>
      <c r="L876">
        <f t="shared" si="26"/>
        <v>1.3876645267086207E-2</v>
      </c>
      <c r="M876" s="23">
        <v>42149</v>
      </c>
      <c r="N876" s="22">
        <v>776.42070000000001</v>
      </c>
      <c r="O876">
        <f t="shared" si="27"/>
        <v>0</v>
      </c>
    </row>
    <row r="877" spans="7:15" x14ac:dyDescent="0.25">
      <c r="G877" s="23">
        <v>42181</v>
      </c>
      <c r="H877" s="22">
        <v>415.12599999999998</v>
      </c>
      <c r="I877">
        <f t="shared" si="26"/>
        <v>-4.9069438311433178E-4</v>
      </c>
      <c r="J877" s="23">
        <v>42181</v>
      </c>
      <c r="K877" s="22">
        <v>625.30150000000003</v>
      </c>
      <c r="L877">
        <f t="shared" si="26"/>
        <v>1.5498926271506619E-4</v>
      </c>
      <c r="M877" s="23">
        <v>42150</v>
      </c>
      <c r="N877" s="22">
        <v>776.42420000000004</v>
      </c>
      <c r="O877">
        <f t="shared" si="27"/>
        <v>4.507865387859411E-6</v>
      </c>
    </row>
    <row r="878" spans="7:15" x14ac:dyDescent="0.25">
      <c r="G878" s="23">
        <v>42184</v>
      </c>
      <c r="H878" s="22">
        <v>421.48340000000002</v>
      </c>
      <c r="I878">
        <f t="shared" si="26"/>
        <v>1.5314386475431707E-2</v>
      </c>
      <c r="J878" s="23">
        <v>42184</v>
      </c>
      <c r="K878" s="22">
        <v>633.88239999999996</v>
      </c>
      <c r="L878">
        <f t="shared" si="26"/>
        <v>1.3722820111577994E-2</v>
      </c>
      <c r="M878" s="23">
        <v>42151</v>
      </c>
      <c r="N878" s="22">
        <v>776.50509999999997</v>
      </c>
      <c r="O878">
        <f t="shared" si="27"/>
        <v>1.0419561883812101E-4</v>
      </c>
    </row>
    <row r="879" spans="7:15" x14ac:dyDescent="0.25">
      <c r="G879" s="23">
        <v>42185</v>
      </c>
      <c r="H879" s="22">
        <v>432.93610000000001</v>
      </c>
      <c r="I879">
        <f t="shared" si="26"/>
        <v>2.7172363134586153E-2</v>
      </c>
      <c r="J879" s="23">
        <v>42185</v>
      </c>
      <c r="K879" s="22">
        <v>645.64049999999997</v>
      </c>
      <c r="L879">
        <f t="shared" si="26"/>
        <v>1.8549339751348315E-2</v>
      </c>
      <c r="M879" s="23">
        <v>42152</v>
      </c>
      <c r="N879" s="22">
        <v>776.50800000000004</v>
      </c>
      <c r="O879">
        <f t="shared" si="27"/>
        <v>3.7346824897088737E-6</v>
      </c>
    </row>
    <row r="880" spans="7:15" x14ac:dyDescent="0.25">
      <c r="G880" s="23">
        <v>42186</v>
      </c>
      <c r="H880" s="22">
        <v>432.9153</v>
      </c>
      <c r="I880">
        <f t="shared" si="26"/>
        <v>-4.8044041603412246E-5</v>
      </c>
      <c r="J880" s="23">
        <v>42186</v>
      </c>
      <c r="K880" s="22">
        <v>645.56410000000005</v>
      </c>
      <c r="L880">
        <f t="shared" si="26"/>
        <v>-1.1833210586997822E-4</v>
      </c>
      <c r="M880" s="23">
        <v>42153</v>
      </c>
      <c r="N880" s="22">
        <v>777.13490000000002</v>
      </c>
      <c r="O880">
        <f t="shared" si="27"/>
        <v>8.0733231338236955E-4</v>
      </c>
    </row>
    <row r="881" spans="7:15" x14ac:dyDescent="0.25">
      <c r="G881" s="23">
        <v>42187</v>
      </c>
      <c r="H881" s="22">
        <v>432.54590000000002</v>
      </c>
      <c r="I881">
        <f t="shared" si="26"/>
        <v>-8.5328469564360798E-4</v>
      </c>
      <c r="J881" s="23">
        <v>42187</v>
      </c>
      <c r="K881" s="22">
        <v>645.50909999999999</v>
      </c>
      <c r="L881">
        <f t="shared" si="26"/>
        <v>-8.5196806947740455E-5</v>
      </c>
      <c r="M881" s="23">
        <v>42156</v>
      </c>
      <c r="N881" s="22">
        <v>777.14229999999998</v>
      </c>
      <c r="O881">
        <f t="shared" si="27"/>
        <v>9.5221563205516446E-6</v>
      </c>
    </row>
    <row r="882" spans="7:15" x14ac:dyDescent="0.25">
      <c r="G882" s="23">
        <v>42188</v>
      </c>
      <c r="H882" s="22">
        <v>432.54590000000002</v>
      </c>
      <c r="I882">
        <f t="shared" si="26"/>
        <v>0</v>
      </c>
      <c r="J882" s="23">
        <v>42188</v>
      </c>
      <c r="K882" s="22">
        <v>645.50909999999999</v>
      </c>
      <c r="L882">
        <f t="shared" si="26"/>
        <v>0</v>
      </c>
      <c r="M882" s="23">
        <v>42157</v>
      </c>
      <c r="N882" s="22">
        <v>776.13220000000001</v>
      </c>
      <c r="O882">
        <f t="shared" si="27"/>
        <v>-1.2997619612263867E-3</v>
      </c>
    </row>
    <row r="883" spans="7:15" x14ac:dyDescent="0.25">
      <c r="G883" s="23">
        <v>42191</v>
      </c>
      <c r="H883" s="22">
        <v>431.85539999999997</v>
      </c>
      <c r="I883">
        <f t="shared" si="26"/>
        <v>-1.5963623744903455E-3</v>
      </c>
      <c r="J883" s="23">
        <v>42191</v>
      </c>
      <c r="K883" s="22">
        <v>644.94129999999996</v>
      </c>
      <c r="L883">
        <f t="shared" si="26"/>
        <v>-8.7961579472706219E-4</v>
      </c>
      <c r="M883" s="23">
        <v>42158</v>
      </c>
      <c r="N883" s="22">
        <v>776.13440000000003</v>
      </c>
      <c r="O883">
        <f t="shared" si="27"/>
        <v>2.8345686469144482E-6</v>
      </c>
    </row>
    <row r="884" spans="7:15" x14ac:dyDescent="0.25">
      <c r="G884" s="23">
        <v>42192</v>
      </c>
      <c r="H884" s="22">
        <v>431.6071</v>
      </c>
      <c r="I884">
        <f t="shared" si="26"/>
        <v>-5.7496097073228558E-4</v>
      </c>
      <c r="J884" s="23">
        <v>42192</v>
      </c>
      <c r="K884" s="22">
        <v>645.19050000000004</v>
      </c>
      <c r="L884">
        <f t="shared" si="26"/>
        <v>3.8639175379229229E-4</v>
      </c>
      <c r="M884" s="23">
        <v>42159</v>
      </c>
      <c r="N884" s="22">
        <v>776.04560000000004</v>
      </c>
      <c r="O884">
        <f t="shared" si="27"/>
        <v>-1.1441317380078697E-4</v>
      </c>
    </row>
    <row r="885" spans="7:15" x14ac:dyDescent="0.25">
      <c r="G885" s="23">
        <v>42193</v>
      </c>
      <c r="H885" s="22">
        <v>431.59550000000002</v>
      </c>
      <c r="I885">
        <f t="shared" si="26"/>
        <v>-2.6876295593836197E-5</v>
      </c>
      <c r="J885" s="23">
        <v>42193</v>
      </c>
      <c r="K885" s="22">
        <v>645.10789999999997</v>
      </c>
      <c r="L885">
        <f t="shared" si="26"/>
        <v>-1.2802420370428003E-4</v>
      </c>
      <c r="M885" s="23">
        <v>42160</v>
      </c>
      <c r="N885" s="22">
        <v>775.54179999999997</v>
      </c>
      <c r="O885">
        <f t="shared" si="27"/>
        <v>-6.4918865592444863E-4</v>
      </c>
    </row>
    <row r="886" spans="7:15" x14ac:dyDescent="0.25">
      <c r="G886" s="23">
        <v>42194</v>
      </c>
      <c r="H886" s="22">
        <v>431.57130000000001</v>
      </c>
      <c r="I886">
        <f t="shared" si="26"/>
        <v>-5.6071020202996813E-5</v>
      </c>
      <c r="J886" s="23">
        <v>42194</v>
      </c>
      <c r="K886" s="22">
        <v>645.09479999999996</v>
      </c>
      <c r="L886">
        <f t="shared" si="26"/>
        <v>-2.0306680479365014E-5</v>
      </c>
      <c r="M886" s="23">
        <v>42163</v>
      </c>
      <c r="N886" s="22">
        <v>775.54499999999996</v>
      </c>
      <c r="O886">
        <f t="shared" si="27"/>
        <v>4.1261476815268594E-6</v>
      </c>
    </row>
    <row r="887" spans="7:15" x14ac:dyDescent="0.25">
      <c r="G887" s="23">
        <v>42195</v>
      </c>
      <c r="H887" s="22">
        <v>431.57060000000001</v>
      </c>
      <c r="I887">
        <f t="shared" si="26"/>
        <v>-1.621979960231279E-6</v>
      </c>
      <c r="J887" s="23">
        <v>42195</v>
      </c>
      <c r="K887" s="22">
        <v>645.27200000000005</v>
      </c>
      <c r="L887">
        <f t="shared" si="26"/>
        <v>2.7468830937737998E-4</v>
      </c>
      <c r="M887" s="23">
        <v>42164</v>
      </c>
      <c r="N887" s="22">
        <v>775.57579999999996</v>
      </c>
      <c r="O887">
        <f t="shared" si="27"/>
        <v>3.9714007568969478E-5</v>
      </c>
    </row>
    <row r="888" spans="7:15" x14ac:dyDescent="0.25">
      <c r="G888" s="23">
        <v>42198</v>
      </c>
      <c r="H888" s="22">
        <v>431.5727</v>
      </c>
      <c r="I888">
        <f t="shared" si="26"/>
        <v>4.8659477731582967E-6</v>
      </c>
      <c r="J888" s="23">
        <v>42198</v>
      </c>
      <c r="K888" s="22">
        <v>644.89689999999996</v>
      </c>
      <c r="L888">
        <f t="shared" si="26"/>
        <v>-5.8130524801958128E-4</v>
      </c>
      <c r="M888" s="23">
        <v>42165</v>
      </c>
      <c r="N888" s="22">
        <v>775.57249999999999</v>
      </c>
      <c r="O888">
        <f t="shared" si="27"/>
        <v>-4.2549032601701953E-6</v>
      </c>
    </row>
    <row r="889" spans="7:15" x14ac:dyDescent="0.25">
      <c r="G889" s="23">
        <v>42199</v>
      </c>
      <c r="H889" s="22">
        <v>431.50580000000002</v>
      </c>
      <c r="I889">
        <f t="shared" si="26"/>
        <v>-1.5501443905041601E-4</v>
      </c>
      <c r="J889" s="23">
        <v>42199</v>
      </c>
      <c r="K889" s="22">
        <v>645.19650000000001</v>
      </c>
      <c r="L889">
        <f t="shared" si="26"/>
        <v>4.64570383265972E-4</v>
      </c>
      <c r="M889" s="23">
        <v>42166</v>
      </c>
      <c r="N889" s="22">
        <v>775.61980000000005</v>
      </c>
      <c r="O889">
        <f t="shared" si="27"/>
        <v>6.0987206225160406E-5</v>
      </c>
    </row>
    <row r="890" spans="7:15" x14ac:dyDescent="0.25">
      <c r="G890" s="23">
        <v>42200</v>
      </c>
      <c r="H890" s="22">
        <v>431.51319999999998</v>
      </c>
      <c r="I890">
        <f t="shared" si="26"/>
        <v>1.7149248051628874E-5</v>
      </c>
      <c r="J890" s="23">
        <v>42200</v>
      </c>
      <c r="K890" s="22">
        <v>645.26250000000005</v>
      </c>
      <c r="L890">
        <f t="shared" si="26"/>
        <v>1.0229441728215605E-4</v>
      </c>
      <c r="M890" s="23">
        <v>42167</v>
      </c>
      <c r="N890" s="22">
        <v>775.62599999999998</v>
      </c>
      <c r="O890">
        <f t="shared" si="27"/>
        <v>7.9936071770703165E-6</v>
      </c>
    </row>
    <row r="891" spans="7:15" x14ac:dyDescent="0.25">
      <c r="G891" s="23">
        <v>42201</v>
      </c>
      <c r="H891" s="22">
        <v>431.5154</v>
      </c>
      <c r="I891">
        <f t="shared" si="26"/>
        <v>5.0983376638225053E-6</v>
      </c>
      <c r="J891" s="23">
        <v>42201</v>
      </c>
      <c r="K891" s="22">
        <v>645.26170000000002</v>
      </c>
      <c r="L891">
        <f t="shared" si="26"/>
        <v>-1.2398055055928836E-6</v>
      </c>
      <c r="M891" s="23">
        <v>42170</v>
      </c>
      <c r="N891" s="22">
        <v>782.39469999999994</v>
      </c>
      <c r="O891">
        <f t="shared" si="27"/>
        <v>8.7267574836324968E-3</v>
      </c>
    </row>
    <row r="892" spans="7:15" x14ac:dyDescent="0.25">
      <c r="G892" s="23">
        <v>42202</v>
      </c>
      <c r="H892" s="22">
        <v>431.5163</v>
      </c>
      <c r="I892">
        <f t="shared" si="26"/>
        <v>2.0856729563423215E-6</v>
      </c>
      <c r="J892" s="23">
        <v>42202</v>
      </c>
      <c r="K892" s="22">
        <v>645.25850000000003</v>
      </c>
      <c r="L892">
        <f t="shared" si="26"/>
        <v>-4.9592281705646002E-6</v>
      </c>
      <c r="M892" s="23">
        <v>42171</v>
      </c>
      <c r="N892" s="22">
        <v>782.40290000000005</v>
      </c>
      <c r="O892">
        <f t="shared" si="27"/>
        <v>1.0480643593435701E-5</v>
      </c>
    </row>
    <row r="893" spans="7:15" x14ac:dyDescent="0.25">
      <c r="G893" s="23">
        <v>42205</v>
      </c>
      <c r="H893" s="22">
        <v>431.5197</v>
      </c>
      <c r="I893">
        <f t="shared" si="26"/>
        <v>7.8791925124388484E-6</v>
      </c>
      <c r="J893" s="23">
        <v>42205</v>
      </c>
      <c r="K893" s="22">
        <v>645.16610000000003</v>
      </c>
      <c r="L893">
        <f t="shared" si="26"/>
        <v>-1.4319842357757295E-4</v>
      </c>
      <c r="M893" s="23">
        <v>42172</v>
      </c>
      <c r="N893" s="22">
        <v>782.49779999999998</v>
      </c>
      <c r="O893">
        <f t="shared" si="27"/>
        <v>1.2129300645469243E-4</v>
      </c>
    </row>
    <row r="894" spans="7:15" x14ac:dyDescent="0.25">
      <c r="G894" s="23">
        <v>42206</v>
      </c>
      <c r="H894" s="22">
        <v>431.51819999999998</v>
      </c>
      <c r="I894">
        <f t="shared" si="26"/>
        <v>-3.4760869550565232E-6</v>
      </c>
      <c r="J894" s="23">
        <v>42206</v>
      </c>
      <c r="K894" s="22">
        <v>645.16229999999996</v>
      </c>
      <c r="L894">
        <f t="shared" si="26"/>
        <v>-5.8899560905212311E-6</v>
      </c>
      <c r="M894" s="23">
        <v>42173</v>
      </c>
      <c r="N894" s="22">
        <v>782.48620000000005</v>
      </c>
      <c r="O894">
        <f t="shared" si="27"/>
        <v>-1.4824322828732583E-5</v>
      </c>
    </row>
    <row r="895" spans="7:15" x14ac:dyDescent="0.25">
      <c r="G895" s="23">
        <v>42207</v>
      </c>
      <c r="H895" s="22">
        <v>431.47730000000001</v>
      </c>
      <c r="I895">
        <f t="shared" si="26"/>
        <v>-9.4781633775742336E-5</v>
      </c>
      <c r="J895" s="23">
        <v>42207</v>
      </c>
      <c r="K895" s="22">
        <v>645.12710000000004</v>
      </c>
      <c r="L895">
        <f t="shared" si="26"/>
        <v>-5.4559914613561133E-5</v>
      </c>
      <c r="M895" s="23">
        <v>42174</v>
      </c>
      <c r="N895" s="22">
        <v>782.49099999999999</v>
      </c>
      <c r="O895">
        <f t="shared" si="27"/>
        <v>6.1342934865038501E-6</v>
      </c>
    </row>
    <row r="896" spans="7:15" x14ac:dyDescent="0.25">
      <c r="G896" s="23">
        <v>42208</v>
      </c>
      <c r="H896" s="22">
        <v>431.47710000000001</v>
      </c>
      <c r="I896">
        <f t="shared" si="26"/>
        <v>-4.6352380533853932E-7</v>
      </c>
      <c r="J896" s="23">
        <v>42208</v>
      </c>
      <c r="K896" s="22">
        <v>645.38340000000005</v>
      </c>
      <c r="L896">
        <f t="shared" si="26"/>
        <v>3.9728605417455043E-4</v>
      </c>
      <c r="M896" s="23">
        <v>42177</v>
      </c>
      <c r="N896" s="22">
        <v>782.69380000000001</v>
      </c>
      <c r="O896">
        <f t="shared" si="27"/>
        <v>2.5917230996919116E-4</v>
      </c>
    </row>
    <row r="897" spans="7:15" x14ac:dyDescent="0.25">
      <c r="G897" s="23">
        <v>42209</v>
      </c>
      <c r="H897" s="22">
        <v>431.48570000000001</v>
      </c>
      <c r="I897">
        <f t="shared" si="26"/>
        <v>1.9931532867056845E-5</v>
      </c>
      <c r="J897" s="23">
        <v>42209</v>
      </c>
      <c r="K897" s="22">
        <v>645.57190000000003</v>
      </c>
      <c r="L897">
        <f t="shared" si="26"/>
        <v>2.9207444752987755E-4</v>
      </c>
      <c r="M897" s="23">
        <v>42178</v>
      </c>
      <c r="N897" s="22">
        <v>783.50869999999998</v>
      </c>
      <c r="O897">
        <f t="shared" si="27"/>
        <v>1.0411478920619999E-3</v>
      </c>
    </row>
    <row r="898" spans="7:15" x14ac:dyDescent="0.25">
      <c r="G898" s="23">
        <v>42212</v>
      </c>
      <c r="H898" s="22">
        <v>431.60070000000002</v>
      </c>
      <c r="I898">
        <f t="shared" si="26"/>
        <v>2.6652099942126029E-4</v>
      </c>
      <c r="J898" s="23">
        <v>42212</v>
      </c>
      <c r="K898" s="22">
        <v>661.25080000000003</v>
      </c>
      <c r="L898">
        <f t="shared" si="26"/>
        <v>2.4286837763539681E-2</v>
      </c>
      <c r="M898" s="23">
        <v>42179</v>
      </c>
      <c r="N898" s="22">
        <v>783.51750000000004</v>
      </c>
      <c r="O898">
        <f t="shared" si="27"/>
        <v>1.1231528124877599E-5</v>
      </c>
    </row>
    <row r="899" spans="7:15" x14ac:dyDescent="0.25">
      <c r="G899" s="23">
        <v>42213</v>
      </c>
      <c r="H899" s="22">
        <v>431.46609999999998</v>
      </c>
      <c r="I899">
        <f t="shared" si="26"/>
        <v>-3.1186233015845222E-4</v>
      </c>
      <c r="J899" s="23">
        <v>42213</v>
      </c>
      <c r="K899" s="22">
        <v>661.43719999999996</v>
      </c>
      <c r="L899">
        <f t="shared" si="26"/>
        <v>2.8189001812917169E-4</v>
      </c>
      <c r="M899" s="23">
        <v>42180</v>
      </c>
      <c r="N899" s="22">
        <v>792.50609999999995</v>
      </c>
      <c r="O899">
        <f t="shared" si="27"/>
        <v>1.147211134403503E-2</v>
      </c>
    </row>
    <row r="900" spans="7:15" x14ac:dyDescent="0.25">
      <c r="G900" s="23">
        <v>42214</v>
      </c>
      <c r="H900" s="22">
        <v>431.38810000000001</v>
      </c>
      <c r="I900">
        <f t="shared" ref="I900:L963" si="28">H900/H899-1</f>
        <v>-1.8077897661017417E-4</v>
      </c>
      <c r="J900" s="23">
        <v>42214</v>
      </c>
      <c r="K900" s="22">
        <v>663.84379999999999</v>
      </c>
      <c r="L900">
        <f t="shared" si="28"/>
        <v>3.6384406561953408E-3</v>
      </c>
      <c r="M900" s="23">
        <v>42181</v>
      </c>
      <c r="N900" s="22">
        <v>793.07339999999999</v>
      </c>
      <c r="O900">
        <f t="shared" ref="O900:O963" si="29">N900/N899-1</f>
        <v>7.1583045228296172E-4</v>
      </c>
    </row>
    <row r="901" spans="7:15" x14ac:dyDescent="0.25">
      <c r="G901" s="23">
        <v>42215</v>
      </c>
      <c r="H901" s="22">
        <v>431.0367</v>
      </c>
      <c r="I901">
        <f t="shared" si="28"/>
        <v>-8.1457972531007172E-4</v>
      </c>
      <c r="J901" s="23">
        <v>42215</v>
      </c>
      <c r="K901" s="22">
        <v>663.85969999999998</v>
      </c>
      <c r="L901">
        <f t="shared" si="28"/>
        <v>2.3951417487122484E-5</v>
      </c>
      <c r="M901" s="23">
        <v>42184</v>
      </c>
      <c r="N901" s="22">
        <v>802.88959999999997</v>
      </c>
      <c r="O901">
        <f t="shared" si="29"/>
        <v>1.2377416768737826E-2</v>
      </c>
    </row>
    <row r="902" spans="7:15" x14ac:dyDescent="0.25">
      <c r="G902" s="23">
        <v>42216</v>
      </c>
      <c r="H902" s="22">
        <v>429.5016</v>
      </c>
      <c r="I902">
        <f t="shared" si="28"/>
        <v>-3.5614136800879992E-3</v>
      </c>
      <c r="J902" s="23">
        <v>42216</v>
      </c>
      <c r="K902" s="22">
        <v>662.80139999999994</v>
      </c>
      <c r="L902">
        <f t="shared" si="28"/>
        <v>-1.5941621399823136E-3</v>
      </c>
      <c r="M902" s="23">
        <v>42185</v>
      </c>
      <c r="N902" s="22">
        <v>824.15499999999997</v>
      </c>
      <c r="O902">
        <f t="shared" si="29"/>
        <v>2.6486082270837707E-2</v>
      </c>
    </row>
    <row r="903" spans="7:15" x14ac:dyDescent="0.25">
      <c r="G903" s="23">
        <v>42219</v>
      </c>
      <c r="H903" s="22">
        <v>429.46350000000001</v>
      </c>
      <c r="I903">
        <f t="shared" si="28"/>
        <v>-8.8707469308557663E-5</v>
      </c>
      <c r="J903" s="23">
        <v>42219</v>
      </c>
      <c r="K903" s="22">
        <v>662.6925</v>
      </c>
      <c r="L903">
        <f t="shared" si="28"/>
        <v>-1.6430261010302871E-4</v>
      </c>
      <c r="M903" s="23">
        <v>42186</v>
      </c>
      <c r="N903" s="22">
        <v>824.21420000000001</v>
      </c>
      <c r="O903">
        <f t="shared" si="29"/>
        <v>7.1831148267031963E-5</v>
      </c>
    </row>
    <row r="904" spans="7:15" x14ac:dyDescent="0.25">
      <c r="G904" s="23">
        <v>42220</v>
      </c>
      <c r="H904" s="22">
        <v>429.25740000000002</v>
      </c>
      <c r="I904">
        <f t="shared" si="28"/>
        <v>-4.7990108588968905E-4</v>
      </c>
      <c r="J904" s="23">
        <v>42220</v>
      </c>
      <c r="K904" s="22">
        <v>662.38689999999997</v>
      </c>
      <c r="L904">
        <f t="shared" si="28"/>
        <v>-4.6114902462301988E-4</v>
      </c>
      <c r="M904" s="23">
        <v>42187</v>
      </c>
      <c r="N904" s="22">
        <v>824.21680000000003</v>
      </c>
      <c r="O904">
        <f t="shared" si="29"/>
        <v>3.1545197838322991E-6</v>
      </c>
    </row>
    <row r="905" spans="7:15" x14ac:dyDescent="0.25">
      <c r="G905" s="23">
        <v>42221</v>
      </c>
      <c r="H905" s="22">
        <v>429.2636</v>
      </c>
      <c r="I905">
        <f t="shared" si="28"/>
        <v>1.4443548323139765E-5</v>
      </c>
      <c r="J905" s="23">
        <v>42221</v>
      </c>
      <c r="K905" s="22">
        <v>661.60940000000005</v>
      </c>
      <c r="L905">
        <f t="shared" si="28"/>
        <v>-1.1737852907416357E-3</v>
      </c>
      <c r="M905" s="23">
        <v>42188</v>
      </c>
      <c r="N905" s="22">
        <v>824.21680000000003</v>
      </c>
      <c r="O905">
        <f t="shared" si="29"/>
        <v>0</v>
      </c>
    </row>
    <row r="906" spans="7:15" x14ac:dyDescent="0.25">
      <c r="G906" s="23">
        <v>42222</v>
      </c>
      <c r="H906" s="22">
        <v>429.48430000000002</v>
      </c>
      <c r="I906">
        <f t="shared" si="28"/>
        <v>5.1413630226271323E-4</v>
      </c>
      <c r="J906" s="23">
        <v>42222</v>
      </c>
      <c r="K906" s="22">
        <v>661.60649999999998</v>
      </c>
      <c r="L906">
        <f t="shared" si="28"/>
        <v>-4.3832509031282996E-6</v>
      </c>
      <c r="M906" s="23">
        <v>42191</v>
      </c>
      <c r="N906" s="22">
        <v>824.22180000000003</v>
      </c>
      <c r="O906">
        <f t="shared" si="29"/>
        <v>6.0663650631731514E-6</v>
      </c>
    </row>
    <row r="907" spans="7:15" x14ac:dyDescent="0.25">
      <c r="G907" s="23">
        <v>42223</v>
      </c>
      <c r="H907" s="22">
        <v>429.53469999999999</v>
      </c>
      <c r="I907">
        <f t="shared" si="28"/>
        <v>1.1735004050206221E-4</v>
      </c>
      <c r="J907" s="23">
        <v>42223</v>
      </c>
      <c r="K907" s="22">
        <v>661.68039999999996</v>
      </c>
      <c r="L907">
        <f t="shared" si="28"/>
        <v>1.1169781433517656E-4</v>
      </c>
      <c r="M907" s="23">
        <v>42192</v>
      </c>
      <c r="N907" s="22">
        <v>824.45129999999995</v>
      </c>
      <c r="O907">
        <f t="shared" si="29"/>
        <v>2.78444467253669E-4</v>
      </c>
    </row>
    <row r="908" spans="7:15" x14ac:dyDescent="0.25">
      <c r="G908" s="23">
        <v>42226</v>
      </c>
      <c r="H908" s="22">
        <v>429.53460000000001</v>
      </c>
      <c r="I908">
        <f t="shared" si="28"/>
        <v>-2.3281006167330531E-7</v>
      </c>
      <c r="J908" s="23">
        <v>42226</v>
      </c>
      <c r="K908" s="22">
        <v>661.85469999999998</v>
      </c>
      <c r="L908">
        <f t="shared" si="28"/>
        <v>2.6342022523273556E-4</v>
      </c>
      <c r="M908" s="23">
        <v>42193</v>
      </c>
      <c r="N908" s="22">
        <v>824.46360000000004</v>
      </c>
      <c r="O908">
        <f t="shared" si="29"/>
        <v>1.4919013409331328E-5</v>
      </c>
    </row>
    <row r="909" spans="7:15" x14ac:dyDescent="0.25">
      <c r="G909" s="23">
        <v>42227</v>
      </c>
      <c r="H909" s="22">
        <v>429.71879999999999</v>
      </c>
      <c r="I909">
        <f t="shared" si="28"/>
        <v>4.2883623344880384E-4</v>
      </c>
      <c r="J909" s="23">
        <v>42227</v>
      </c>
      <c r="K909" s="22">
        <v>661.60469999999998</v>
      </c>
      <c r="L909">
        <f t="shared" si="28"/>
        <v>-3.7772641034350407E-4</v>
      </c>
      <c r="M909" s="23">
        <v>42194</v>
      </c>
      <c r="N909" s="22">
        <v>824.44439999999997</v>
      </c>
      <c r="O909">
        <f t="shared" si="29"/>
        <v>-2.3287868621602037E-5</v>
      </c>
    </row>
    <row r="910" spans="7:15" x14ac:dyDescent="0.25">
      <c r="G910" s="23">
        <v>42228</v>
      </c>
      <c r="H910" s="22">
        <v>429.71879999999999</v>
      </c>
      <c r="I910">
        <f t="shared" si="28"/>
        <v>0</v>
      </c>
      <c r="J910" s="23">
        <v>42228</v>
      </c>
      <c r="K910" s="22">
        <v>661.60469999999998</v>
      </c>
      <c r="L910">
        <f t="shared" si="28"/>
        <v>0</v>
      </c>
      <c r="M910" s="23">
        <v>42195</v>
      </c>
      <c r="N910" s="22">
        <v>824.45429999999999</v>
      </c>
      <c r="O910">
        <f t="shared" si="29"/>
        <v>1.2008086900827664E-5</v>
      </c>
    </row>
    <row r="911" spans="7:15" x14ac:dyDescent="0.25">
      <c r="G911" s="23">
        <v>42229</v>
      </c>
      <c r="H911" s="22">
        <v>429.8503</v>
      </c>
      <c r="I911">
        <f t="shared" si="28"/>
        <v>3.0601407245867129E-4</v>
      </c>
      <c r="J911" s="23">
        <v>42229</v>
      </c>
      <c r="K911" s="22">
        <v>661.67750000000001</v>
      </c>
      <c r="L911">
        <f t="shared" si="28"/>
        <v>1.1003549400423474E-4</v>
      </c>
      <c r="M911" s="23">
        <v>42198</v>
      </c>
      <c r="N911" s="22">
        <v>824.46349999999995</v>
      </c>
      <c r="O911">
        <f t="shared" si="29"/>
        <v>1.1158896254137574E-5</v>
      </c>
    </row>
    <row r="912" spans="7:15" x14ac:dyDescent="0.25">
      <c r="G912" s="23">
        <v>42230</v>
      </c>
      <c r="H912" s="22">
        <v>429.8424</v>
      </c>
      <c r="I912">
        <f t="shared" si="28"/>
        <v>-1.8378491302706301E-5</v>
      </c>
      <c r="J912" s="23">
        <v>42230</v>
      </c>
      <c r="K912" s="22">
        <v>661.67840000000001</v>
      </c>
      <c r="L912">
        <f t="shared" si="28"/>
        <v>1.3601792414608127E-6</v>
      </c>
      <c r="M912" s="23">
        <v>42199</v>
      </c>
      <c r="N912" s="22">
        <v>823.93060000000003</v>
      </c>
      <c r="O912">
        <f t="shared" si="29"/>
        <v>-6.4635972362625527E-4</v>
      </c>
    </row>
    <row r="913" spans="7:15" x14ac:dyDescent="0.25">
      <c r="G913" s="23">
        <v>42233</v>
      </c>
      <c r="H913" s="22">
        <v>429.82369999999997</v>
      </c>
      <c r="I913">
        <f t="shared" si="28"/>
        <v>-4.3504316931120002E-5</v>
      </c>
      <c r="J913" s="23">
        <v>42233</v>
      </c>
      <c r="K913" s="22">
        <v>661.77719999999999</v>
      </c>
      <c r="L913">
        <f t="shared" si="28"/>
        <v>1.4931725140177043E-4</v>
      </c>
      <c r="M913" s="23">
        <v>42200</v>
      </c>
      <c r="N913" s="22">
        <v>823.94460000000004</v>
      </c>
      <c r="O913">
        <f t="shared" si="29"/>
        <v>1.6991722361137107E-5</v>
      </c>
    </row>
    <row r="914" spans="7:15" x14ac:dyDescent="0.25">
      <c r="G914" s="23">
        <v>42234</v>
      </c>
      <c r="H914" s="22">
        <v>429.87979999999999</v>
      </c>
      <c r="I914">
        <f t="shared" si="28"/>
        <v>1.3051862891688693E-4</v>
      </c>
      <c r="J914" s="23">
        <v>42234</v>
      </c>
      <c r="K914" s="22">
        <v>662.08219999999994</v>
      </c>
      <c r="L914">
        <f t="shared" si="28"/>
        <v>4.608801874708135E-4</v>
      </c>
      <c r="M914" s="23">
        <v>42201</v>
      </c>
      <c r="N914" s="22">
        <v>823.94090000000006</v>
      </c>
      <c r="O914">
        <f t="shared" si="29"/>
        <v>-4.4905931781968889E-6</v>
      </c>
    </row>
    <row r="915" spans="7:15" x14ac:dyDescent="0.25">
      <c r="G915" s="23">
        <v>42235</v>
      </c>
      <c r="H915" s="22">
        <v>429.88040000000001</v>
      </c>
      <c r="I915">
        <f t="shared" si="28"/>
        <v>1.395738995046969E-6</v>
      </c>
      <c r="J915" s="23">
        <v>42235</v>
      </c>
      <c r="K915" s="22">
        <v>662.06269999999995</v>
      </c>
      <c r="L915">
        <f t="shared" si="28"/>
        <v>-2.9452536256080464E-5</v>
      </c>
      <c r="M915" s="23">
        <v>42202</v>
      </c>
      <c r="N915" s="22">
        <v>823.93790000000001</v>
      </c>
      <c r="O915">
        <f t="shared" si="29"/>
        <v>-3.6410378463358484E-6</v>
      </c>
    </row>
    <row r="916" spans="7:15" x14ac:dyDescent="0.25">
      <c r="G916" s="23">
        <v>42236</v>
      </c>
      <c r="H916" s="22">
        <v>429.88409999999999</v>
      </c>
      <c r="I916">
        <f t="shared" si="28"/>
        <v>8.6070451221775812E-6</v>
      </c>
      <c r="J916" s="23">
        <v>42236</v>
      </c>
      <c r="K916" s="22">
        <v>662.12890000000004</v>
      </c>
      <c r="L916">
        <f t="shared" si="28"/>
        <v>9.9990529597970834E-5</v>
      </c>
      <c r="M916" s="23">
        <v>42205</v>
      </c>
      <c r="N916" s="22">
        <v>823.91769999999997</v>
      </c>
      <c r="O916">
        <f t="shared" si="29"/>
        <v>-2.4516410763508745E-5</v>
      </c>
    </row>
    <row r="917" spans="7:15" x14ac:dyDescent="0.25">
      <c r="G917" s="23">
        <v>42237</v>
      </c>
      <c r="H917" s="22">
        <v>429.88560000000001</v>
      </c>
      <c r="I917">
        <f t="shared" si="28"/>
        <v>3.4893125844259743E-6</v>
      </c>
      <c r="J917" s="23">
        <v>42237</v>
      </c>
      <c r="K917" s="22">
        <v>662.14049999999997</v>
      </c>
      <c r="L917">
        <f t="shared" si="28"/>
        <v>1.7519247385022751E-5</v>
      </c>
      <c r="M917" s="23">
        <v>42206</v>
      </c>
      <c r="N917" s="22">
        <v>823.85580000000004</v>
      </c>
      <c r="O917">
        <f t="shared" si="29"/>
        <v>-7.5128862991880041E-5</v>
      </c>
    </row>
    <row r="918" spans="7:15" x14ac:dyDescent="0.25">
      <c r="G918" s="23">
        <v>42240</v>
      </c>
      <c r="H918" s="22">
        <v>454.34699999999998</v>
      </c>
      <c r="I918">
        <f t="shared" si="28"/>
        <v>5.6902115353480109E-2</v>
      </c>
      <c r="J918" s="23">
        <v>42240</v>
      </c>
      <c r="K918" s="22">
        <v>695.2944</v>
      </c>
      <c r="L918">
        <f t="shared" si="28"/>
        <v>5.007079313227325E-2</v>
      </c>
      <c r="M918" s="23">
        <v>42207</v>
      </c>
      <c r="N918" s="22">
        <v>823.84709999999995</v>
      </c>
      <c r="O918">
        <f t="shared" si="29"/>
        <v>-1.0560100444867437E-5</v>
      </c>
    </row>
    <row r="919" spans="7:15" x14ac:dyDescent="0.25">
      <c r="G919" s="23">
        <v>42241</v>
      </c>
      <c r="H919" s="22">
        <v>454.37490000000003</v>
      </c>
      <c r="I919">
        <f t="shared" si="28"/>
        <v>6.1406810213382457E-5</v>
      </c>
      <c r="J919" s="23">
        <v>42241</v>
      </c>
      <c r="K919" s="22">
        <v>695.39009999999996</v>
      </c>
      <c r="L919">
        <f t="shared" si="28"/>
        <v>1.37639538014378E-4</v>
      </c>
      <c r="M919" s="23">
        <v>42208</v>
      </c>
      <c r="N919" s="22">
        <v>824.47339999999997</v>
      </c>
      <c r="O919">
        <f t="shared" si="29"/>
        <v>7.60213879492877E-4</v>
      </c>
    </row>
    <row r="920" spans="7:15" x14ac:dyDescent="0.25">
      <c r="G920" s="23">
        <v>42242</v>
      </c>
      <c r="H920" s="22">
        <v>454.26400000000001</v>
      </c>
      <c r="I920">
        <f t="shared" si="28"/>
        <v>-2.4407158053851852E-4</v>
      </c>
      <c r="J920" s="23">
        <v>42242</v>
      </c>
      <c r="K920" s="22">
        <v>695.2405</v>
      </c>
      <c r="L920">
        <f t="shared" si="28"/>
        <v>-2.1513104658799076E-4</v>
      </c>
      <c r="M920" s="23">
        <v>42209</v>
      </c>
      <c r="N920" s="22">
        <v>824.46109999999999</v>
      </c>
      <c r="O920">
        <f t="shared" si="29"/>
        <v>-1.4918613505332523E-5</v>
      </c>
    </row>
    <row r="921" spans="7:15" x14ac:dyDescent="0.25">
      <c r="G921" s="23">
        <v>42243</v>
      </c>
      <c r="H921" s="22">
        <v>454.25130000000001</v>
      </c>
      <c r="I921">
        <f t="shared" si="28"/>
        <v>-2.7957311167114973E-5</v>
      </c>
      <c r="J921" s="23">
        <v>42243</v>
      </c>
      <c r="K921" s="22">
        <v>695.33550000000002</v>
      </c>
      <c r="L921">
        <f t="shared" si="28"/>
        <v>1.3664336298013779E-4</v>
      </c>
      <c r="M921" s="23">
        <v>42212</v>
      </c>
      <c r="N921" s="22">
        <v>843.19140000000004</v>
      </c>
      <c r="O921">
        <f t="shared" si="29"/>
        <v>2.2718233765061768E-2</v>
      </c>
    </row>
    <row r="922" spans="7:15" x14ac:dyDescent="0.25">
      <c r="G922" s="23">
        <v>42244</v>
      </c>
      <c r="H922" s="22">
        <v>453.9427</v>
      </c>
      <c r="I922">
        <f t="shared" si="28"/>
        <v>-6.7935964079801625E-4</v>
      </c>
      <c r="J922" s="23">
        <v>42244</v>
      </c>
      <c r="K922" s="22">
        <v>695.46770000000004</v>
      </c>
      <c r="L922">
        <f t="shared" si="28"/>
        <v>1.9012404803153693E-4</v>
      </c>
      <c r="M922" s="23">
        <v>42213</v>
      </c>
      <c r="N922" s="22">
        <v>843.15800000000002</v>
      </c>
      <c r="O922">
        <f t="shared" si="29"/>
        <v>-3.9611409698991906E-5</v>
      </c>
    </row>
    <row r="923" spans="7:15" x14ac:dyDescent="0.25">
      <c r="G923" s="23">
        <v>42247</v>
      </c>
      <c r="H923" s="22">
        <v>452.15190000000001</v>
      </c>
      <c r="I923">
        <f t="shared" si="28"/>
        <v>-3.9449912951567967E-3</v>
      </c>
      <c r="J923" s="23">
        <v>42247</v>
      </c>
      <c r="K923" s="22">
        <v>693.6155</v>
      </c>
      <c r="L923">
        <f t="shared" si="28"/>
        <v>-2.663243742304644E-3</v>
      </c>
      <c r="M923" s="23">
        <v>42214</v>
      </c>
      <c r="N923" s="22">
        <v>856.64350000000002</v>
      </c>
      <c r="O923">
        <f t="shared" si="29"/>
        <v>1.5994036704864323E-2</v>
      </c>
    </row>
    <row r="924" spans="7:15" x14ac:dyDescent="0.25">
      <c r="G924" s="23">
        <v>42248</v>
      </c>
      <c r="H924" s="22">
        <v>452.21069999999997</v>
      </c>
      <c r="I924">
        <f t="shared" si="28"/>
        <v>1.3004479246903067E-4</v>
      </c>
      <c r="J924" s="23">
        <v>42248</v>
      </c>
      <c r="K924" s="22">
        <v>693.60260000000005</v>
      </c>
      <c r="L924">
        <f t="shared" si="28"/>
        <v>-1.859820029970205E-5</v>
      </c>
      <c r="M924" s="23">
        <v>42215</v>
      </c>
      <c r="N924" s="22">
        <v>856.65229999999997</v>
      </c>
      <c r="O924">
        <f t="shared" si="29"/>
        <v>1.0272651342013717E-5</v>
      </c>
    </row>
    <row r="925" spans="7:15" x14ac:dyDescent="0.25">
      <c r="G925" s="23">
        <v>42249</v>
      </c>
      <c r="H925" s="22">
        <v>451.94209999999998</v>
      </c>
      <c r="I925">
        <f t="shared" si="28"/>
        <v>-5.9397090780910489E-4</v>
      </c>
      <c r="J925" s="23">
        <v>42249</v>
      </c>
      <c r="K925" s="22">
        <v>693.6327</v>
      </c>
      <c r="L925">
        <f t="shared" si="28"/>
        <v>4.3396607798174003E-5</v>
      </c>
      <c r="M925" s="23">
        <v>42216</v>
      </c>
      <c r="N925" s="22">
        <v>854.09550000000002</v>
      </c>
      <c r="O925">
        <f t="shared" si="29"/>
        <v>-2.9846414934039389E-3</v>
      </c>
    </row>
    <row r="926" spans="7:15" x14ac:dyDescent="0.25">
      <c r="G926" s="23">
        <v>42250</v>
      </c>
      <c r="H926" s="22">
        <v>452.23180000000002</v>
      </c>
      <c r="I926">
        <f t="shared" si="28"/>
        <v>6.4101131538762957E-4</v>
      </c>
      <c r="J926" s="23">
        <v>42250</v>
      </c>
      <c r="K926" s="22">
        <v>693.40229999999997</v>
      </c>
      <c r="L926">
        <f t="shared" si="28"/>
        <v>-3.3216427080218214E-4</v>
      </c>
      <c r="M926" s="23">
        <v>42219</v>
      </c>
      <c r="N926" s="22">
        <v>854.09519999999998</v>
      </c>
      <c r="O926">
        <f t="shared" si="29"/>
        <v>-3.5124877728609505E-7</v>
      </c>
    </row>
    <row r="927" spans="7:15" x14ac:dyDescent="0.25">
      <c r="G927" s="23">
        <v>42251</v>
      </c>
      <c r="H927" s="22">
        <v>452.09309999999999</v>
      </c>
      <c r="I927">
        <f t="shared" si="28"/>
        <v>-3.0670112097386237E-4</v>
      </c>
      <c r="J927" s="23">
        <v>42251</v>
      </c>
      <c r="K927" s="22">
        <v>693.4606</v>
      </c>
      <c r="L927">
        <f t="shared" si="28"/>
        <v>8.4078175108581732E-5</v>
      </c>
      <c r="M927" s="23">
        <v>42220</v>
      </c>
      <c r="N927" s="22">
        <v>854.05909999999994</v>
      </c>
      <c r="O927">
        <f t="shared" si="29"/>
        <v>-4.226695103781708E-5</v>
      </c>
    </row>
    <row r="928" spans="7:15" x14ac:dyDescent="0.25">
      <c r="G928" s="23">
        <v>42254</v>
      </c>
      <c r="H928" s="22">
        <v>452.09309999999999</v>
      </c>
      <c r="I928">
        <f t="shared" si="28"/>
        <v>0</v>
      </c>
      <c r="J928" s="23">
        <v>42254</v>
      </c>
      <c r="K928" s="22">
        <v>693.4606</v>
      </c>
      <c r="L928">
        <f t="shared" si="28"/>
        <v>0</v>
      </c>
      <c r="M928" s="23">
        <v>42221</v>
      </c>
      <c r="N928" s="22">
        <v>854.05960000000005</v>
      </c>
      <c r="O928">
        <f t="shared" si="29"/>
        <v>5.8543957925927259E-7</v>
      </c>
    </row>
    <row r="929" spans="7:15" x14ac:dyDescent="0.25">
      <c r="G929" s="23">
        <v>42255</v>
      </c>
      <c r="H929" s="22">
        <v>452.05500000000001</v>
      </c>
      <c r="I929">
        <f t="shared" si="28"/>
        <v>-8.4274677052076363E-5</v>
      </c>
      <c r="J929" s="23">
        <v>42255</v>
      </c>
      <c r="K929" s="22">
        <v>693.69259999999997</v>
      </c>
      <c r="L929">
        <f t="shared" si="28"/>
        <v>3.34553974659757E-4</v>
      </c>
      <c r="M929" s="23">
        <v>42222</v>
      </c>
      <c r="N929" s="22">
        <v>854.90599999999995</v>
      </c>
      <c r="O929">
        <f t="shared" si="29"/>
        <v>9.9103153925073073E-4</v>
      </c>
    </row>
    <row r="930" spans="7:15" x14ac:dyDescent="0.25">
      <c r="G930" s="23">
        <v>42256</v>
      </c>
      <c r="H930" s="22">
        <v>452.0514</v>
      </c>
      <c r="I930">
        <f t="shared" si="28"/>
        <v>-7.9636327438015186E-6</v>
      </c>
      <c r="J930" s="23">
        <v>42256</v>
      </c>
      <c r="K930" s="22">
        <v>693.26089999999999</v>
      </c>
      <c r="L930">
        <f t="shared" si="28"/>
        <v>-6.2232176038778952E-4</v>
      </c>
      <c r="M930" s="23">
        <v>42223</v>
      </c>
      <c r="N930" s="22">
        <v>854.98509999999999</v>
      </c>
      <c r="O930">
        <f t="shared" si="29"/>
        <v>9.2524792199455419E-5</v>
      </c>
    </row>
    <row r="931" spans="7:15" x14ac:dyDescent="0.25">
      <c r="G931" s="23">
        <v>42257</v>
      </c>
      <c r="H931" s="22">
        <v>451.97879999999998</v>
      </c>
      <c r="I931">
        <f t="shared" si="28"/>
        <v>-1.6060120596905758E-4</v>
      </c>
      <c r="J931" s="23">
        <v>42257</v>
      </c>
      <c r="K931" s="22">
        <v>693.54219999999998</v>
      </c>
      <c r="L931">
        <f t="shared" si="28"/>
        <v>4.0576354443189189E-4</v>
      </c>
      <c r="M931" s="23">
        <v>42226</v>
      </c>
      <c r="N931" s="22">
        <v>854.51080000000002</v>
      </c>
      <c r="O931">
        <f t="shared" si="29"/>
        <v>-5.5474650961750971E-4</v>
      </c>
    </row>
    <row r="932" spans="7:15" x14ac:dyDescent="0.25">
      <c r="G932" s="23">
        <v>42258</v>
      </c>
      <c r="H932" s="22">
        <v>451.86309999999997</v>
      </c>
      <c r="I932">
        <f t="shared" si="28"/>
        <v>-2.5598545772498316E-4</v>
      </c>
      <c r="J932" s="23">
        <v>42258</v>
      </c>
      <c r="K932" s="22">
        <v>693.51459999999997</v>
      </c>
      <c r="L932">
        <f t="shared" si="28"/>
        <v>-3.979570385193032E-5</v>
      </c>
      <c r="M932" s="23">
        <v>42227</v>
      </c>
      <c r="N932" s="22">
        <v>854.41390000000001</v>
      </c>
      <c r="O932">
        <f t="shared" si="29"/>
        <v>-1.1339821568079334E-4</v>
      </c>
    </row>
    <row r="933" spans="7:15" x14ac:dyDescent="0.25">
      <c r="G933" s="23">
        <v>42261</v>
      </c>
      <c r="H933" s="22">
        <v>451.85680000000002</v>
      </c>
      <c r="I933">
        <f t="shared" si="28"/>
        <v>-1.3942275879474941E-5</v>
      </c>
      <c r="J933" s="23">
        <v>42261</v>
      </c>
      <c r="K933" s="22">
        <v>693.55439999999999</v>
      </c>
      <c r="L933">
        <f t="shared" si="28"/>
        <v>5.7388842282568575E-5</v>
      </c>
      <c r="M933" s="23">
        <v>42228</v>
      </c>
      <c r="N933" s="22">
        <v>854.41390000000001</v>
      </c>
      <c r="O933">
        <f t="shared" si="29"/>
        <v>0</v>
      </c>
    </row>
    <row r="934" spans="7:15" x14ac:dyDescent="0.25">
      <c r="G934" s="23">
        <v>42262</v>
      </c>
      <c r="H934" s="22">
        <v>451.77629999999999</v>
      </c>
      <c r="I934">
        <f t="shared" si="28"/>
        <v>-1.7815378677499272E-4</v>
      </c>
      <c r="J934" s="23">
        <v>42262</v>
      </c>
      <c r="K934" s="22">
        <v>693.55079999999998</v>
      </c>
      <c r="L934">
        <f t="shared" si="28"/>
        <v>-5.190652672681928E-6</v>
      </c>
      <c r="M934" s="23">
        <v>42229</v>
      </c>
      <c r="N934" s="22">
        <v>854.41510000000005</v>
      </c>
      <c r="O934">
        <f t="shared" si="29"/>
        <v>1.4044715330729929E-6</v>
      </c>
    </row>
    <row r="935" spans="7:15" x14ac:dyDescent="0.25">
      <c r="G935" s="23">
        <v>42263</v>
      </c>
      <c r="H935" s="22">
        <v>451.77769999999998</v>
      </c>
      <c r="I935">
        <f t="shared" si="28"/>
        <v>3.0988788035646309E-6</v>
      </c>
      <c r="J935" s="23">
        <v>42263</v>
      </c>
      <c r="K935" s="22">
        <v>693.62519999999995</v>
      </c>
      <c r="L935">
        <f t="shared" si="28"/>
        <v>1.0727404539068175E-4</v>
      </c>
      <c r="M935" s="23">
        <v>42230</v>
      </c>
      <c r="N935" s="22">
        <v>854.41729999999995</v>
      </c>
      <c r="O935">
        <f t="shared" si="29"/>
        <v>2.5748608607489842E-6</v>
      </c>
    </row>
    <row r="936" spans="7:15" x14ac:dyDescent="0.25">
      <c r="G936" s="23">
        <v>42264</v>
      </c>
      <c r="H936" s="22">
        <v>451.78059999999999</v>
      </c>
      <c r="I936">
        <f t="shared" si="28"/>
        <v>6.4190862010260474E-6</v>
      </c>
      <c r="J936" s="23">
        <v>42264</v>
      </c>
      <c r="K936" s="22">
        <v>693.65129999999999</v>
      </c>
      <c r="L936">
        <f t="shared" si="28"/>
        <v>3.7628390664012912E-5</v>
      </c>
      <c r="M936" s="23">
        <v>42233</v>
      </c>
      <c r="N936" s="22">
        <v>854.40480000000002</v>
      </c>
      <c r="O936">
        <f t="shared" si="29"/>
        <v>-1.4629853585468311E-5</v>
      </c>
    </row>
    <row r="937" spans="7:15" x14ac:dyDescent="0.25">
      <c r="G937" s="23">
        <v>42265</v>
      </c>
      <c r="H937" s="22">
        <v>451.77679999999998</v>
      </c>
      <c r="I937">
        <f t="shared" si="28"/>
        <v>-8.4111624093496928E-6</v>
      </c>
      <c r="J937" s="23">
        <v>42265</v>
      </c>
      <c r="K937" s="22">
        <v>693.64670000000001</v>
      </c>
      <c r="L937">
        <f t="shared" si="28"/>
        <v>-6.6315741064082445E-6</v>
      </c>
      <c r="M937" s="23">
        <v>42234</v>
      </c>
      <c r="N937" s="22">
        <v>854.41110000000003</v>
      </c>
      <c r="O937">
        <f t="shared" si="29"/>
        <v>7.3735540810915268E-6</v>
      </c>
    </row>
    <row r="938" spans="7:15" x14ac:dyDescent="0.25">
      <c r="G938" s="23">
        <v>42268</v>
      </c>
      <c r="H938" s="22">
        <v>451.77659999999997</v>
      </c>
      <c r="I938">
        <f t="shared" si="28"/>
        <v>-4.426964820281043E-7</v>
      </c>
      <c r="J938" s="23">
        <v>42268</v>
      </c>
      <c r="K938" s="22">
        <v>693.64250000000004</v>
      </c>
      <c r="L938">
        <f t="shared" si="28"/>
        <v>-6.0549556423206141E-6</v>
      </c>
      <c r="M938" s="23">
        <v>42235</v>
      </c>
      <c r="N938" s="22">
        <v>854.41700000000003</v>
      </c>
      <c r="O938">
        <f t="shared" si="29"/>
        <v>6.9053410003405702E-6</v>
      </c>
    </row>
    <row r="939" spans="7:15" x14ac:dyDescent="0.25">
      <c r="G939" s="23">
        <v>42269</v>
      </c>
      <c r="H939" s="22">
        <v>451.77749999999997</v>
      </c>
      <c r="I939">
        <f t="shared" si="28"/>
        <v>1.9921350509211067E-6</v>
      </c>
      <c r="J939" s="23">
        <v>42269</v>
      </c>
      <c r="K939" s="22">
        <v>693.64700000000005</v>
      </c>
      <c r="L939">
        <f t="shared" si="28"/>
        <v>6.4874917555801659E-6</v>
      </c>
      <c r="M939" s="23">
        <v>42236</v>
      </c>
      <c r="N939" s="22">
        <v>854.37570000000005</v>
      </c>
      <c r="O939">
        <f t="shared" si="29"/>
        <v>-4.8337053218716619E-5</v>
      </c>
    </row>
    <row r="940" spans="7:15" x14ac:dyDescent="0.25">
      <c r="G940" s="23">
        <v>42270</v>
      </c>
      <c r="H940" s="22">
        <v>451.7792</v>
      </c>
      <c r="I940">
        <f t="shared" si="28"/>
        <v>3.7629142664030724E-6</v>
      </c>
      <c r="J940" s="23">
        <v>42270</v>
      </c>
      <c r="K940" s="22">
        <v>693.75099999999998</v>
      </c>
      <c r="L940">
        <f t="shared" si="28"/>
        <v>1.4993217010950133E-4</v>
      </c>
      <c r="M940" s="23">
        <v>42237</v>
      </c>
      <c r="N940" s="22">
        <v>854.41010000000006</v>
      </c>
      <c r="O940">
        <f t="shared" si="29"/>
        <v>4.0263317414135358E-5</v>
      </c>
    </row>
    <row r="941" spans="7:15" x14ac:dyDescent="0.25">
      <c r="G941" s="23">
        <v>42271</v>
      </c>
      <c r="H941" s="22">
        <v>451.76560000000001</v>
      </c>
      <c r="I941">
        <f t="shared" si="28"/>
        <v>-3.0103200855613466E-5</v>
      </c>
      <c r="J941" s="23">
        <v>42271</v>
      </c>
      <c r="K941" s="22">
        <v>693.88599999999997</v>
      </c>
      <c r="L941">
        <f t="shared" si="28"/>
        <v>1.9459431409818428E-4</v>
      </c>
      <c r="M941" s="23">
        <v>42240</v>
      </c>
      <c r="N941" s="22">
        <v>894.95550000000003</v>
      </c>
      <c r="O941">
        <f t="shared" si="29"/>
        <v>4.7454261132914954E-2</v>
      </c>
    </row>
    <row r="942" spans="7:15" x14ac:dyDescent="0.25">
      <c r="G942" s="23">
        <v>42272</v>
      </c>
      <c r="H942" s="22">
        <v>451.77350000000001</v>
      </c>
      <c r="I942">
        <f t="shared" si="28"/>
        <v>1.7486944557054684E-5</v>
      </c>
      <c r="J942" s="23">
        <v>42272</v>
      </c>
      <c r="K942" s="22">
        <v>693.91840000000002</v>
      </c>
      <c r="L942">
        <f t="shared" si="28"/>
        <v>4.6693549084597663E-5</v>
      </c>
      <c r="M942" s="23">
        <v>42241</v>
      </c>
      <c r="N942" s="22">
        <v>894.94590000000005</v>
      </c>
      <c r="O942">
        <f t="shared" si="29"/>
        <v>-1.0726790326431868E-5</v>
      </c>
    </row>
    <row r="943" spans="7:15" x14ac:dyDescent="0.25">
      <c r="G943" s="23">
        <v>42275</v>
      </c>
      <c r="H943" s="22">
        <v>462.62049999999999</v>
      </c>
      <c r="I943">
        <f t="shared" si="28"/>
        <v>2.4009819079693573E-2</v>
      </c>
      <c r="J943" s="23">
        <v>42275</v>
      </c>
      <c r="K943" s="22">
        <v>724.23080000000004</v>
      </c>
      <c r="L943">
        <f t="shared" si="28"/>
        <v>4.3682946006331713E-2</v>
      </c>
      <c r="M943" s="23">
        <v>42242</v>
      </c>
      <c r="N943" s="22">
        <v>894.91030000000001</v>
      </c>
      <c r="O943">
        <f t="shared" si="29"/>
        <v>-3.977894082762834E-5</v>
      </c>
    </row>
    <row r="944" spans="7:15" x14ac:dyDescent="0.25">
      <c r="G944" s="23">
        <v>42276</v>
      </c>
      <c r="H944" s="22">
        <v>478.55130000000003</v>
      </c>
      <c r="I944">
        <f t="shared" si="28"/>
        <v>3.4436000998658844E-2</v>
      </c>
      <c r="J944" s="23">
        <v>42276</v>
      </c>
      <c r="K944" s="22">
        <v>746.06359999999995</v>
      </c>
      <c r="L944">
        <f t="shared" si="28"/>
        <v>3.0146190965642417E-2</v>
      </c>
      <c r="M944" s="23">
        <v>42243</v>
      </c>
      <c r="N944" s="22">
        <v>895.60929999999996</v>
      </c>
      <c r="O944">
        <f t="shared" si="29"/>
        <v>7.8108386952302489E-4</v>
      </c>
    </row>
    <row r="945" spans="7:15" x14ac:dyDescent="0.25">
      <c r="G945" s="23">
        <v>42277</v>
      </c>
      <c r="H945" s="22">
        <v>476.92259999999999</v>
      </c>
      <c r="I945">
        <f t="shared" si="28"/>
        <v>-3.4033968772000378E-3</v>
      </c>
      <c r="J945" s="23">
        <v>42277</v>
      </c>
      <c r="K945" s="22">
        <v>745.25760000000002</v>
      </c>
      <c r="L945">
        <f t="shared" si="28"/>
        <v>-1.0803368506383526E-3</v>
      </c>
      <c r="M945" s="23">
        <v>42244</v>
      </c>
      <c r="N945" s="22">
        <v>895.61220000000003</v>
      </c>
      <c r="O945">
        <f t="shared" si="29"/>
        <v>3.2380190781999829E-6</v>
      </c>
    </row>
    <row r="946" spans="7:15" x14ac:dyDescent="0.25">
      <c r="G946" s="23">
        <v>42278</v>
      </c>
      <c r="H946" s="22">
        <v>476.91090000000003</v>
      </c>
      <c r="I946">
        <f t="shared" si="28"/>
        <v>-2.4532282596689825E-5</v>
      </c>
      <c r="J946" s="23">
        <v>42278</v>
      </c>
      <c r="K946" s="22">
        <v>745.2604</v>
      </c>
      <c r="L946">
        <f t="shared" si="28"/>
        <v>3.7570901658678935E-6</v>
      </c>
      <c r="M946" s="23">
        <v>42247</v>
      </c>
      <c r="N946" s="22">
        <v>891.52970000000005</v>
      </c>
      <c r="O946">
        <f t="shared" si="29"/>
        <v>-4.5583345112985008E-3</v>
      </c>
    </row>
    <row r="947" spans="7:15" x14ac:dyDescent="0.25">
      <c r="G947" s="23">
        <v>42279</v>
      </c>
      <c r="H947" s="22">
        <v>476.25839999999999</v>
      </c>
      <c r="I947">
        <f t="shared" si="28"/>
        <v>-1.3681800940176236E-3</v>
      </c>
      <c r="J947" s="23">
        <v>42279</v>
      </c>
      <c r="K947" s="22">
        <v>745.50540000000001</v>
      </c>
      <c r="L947">
        <f t="shared" si="28"/>
        <v>3.2874415439221316E-4</v>
      </c>
      <c r="M947" s="23">
        <v>42248</v>
      </c>
      <c r="N947" s="22">
        <v>891.53599999999994</v>
      </c>
      <c r="O947">
        <f t="shared" si="29"/>
        <v>7.0665060287744552E-6</v>
      </c>
    </row>
    <row r="948" spans="7:15" x14ac:dyDescent="0.25">
      <c r="G948" s="23">
        <v>42282</v>
      </c>
      <c r="H948" s="22">
        <v>476.15230000000003</v>
      </c>
      <c r="I948">
        <f t="shared" si="28"/>
        <v>-2.2277822291416616E-4</v>
      </c>
      <c r="J948" s="23">
        <v>42282</v>
      </c>
      <c r="K948" s="22">
        <v>745.35569999999996</v>
      </c>
      <c r="L948">
        <f t="shared" si="28"/>
        <v>-2.0080337446259922E-4</v>
      </c>
      <c r="M948" s="23">
        <v>42249</v>
      </c>
      <c r="N948" s="22">
        <v>891.48260000000005</v>
      </c>
      <c r="O948">
        <f t="shared" si="29"/>
        <v>-5.9896627842115358E-5</v>
      </c>
    </row>
    <row r="949" spans="7:15" x14ac:dyDescent="0.25">
      <c r="G949" s="23">
        <v>42283</v>
      </c>
      <c r="H949" s="22">
        <v>476.06709999999998</v>
      </c>
      <c r="I949">
        <f t="shared" si="28"/>
        <v>-1.7893434516658147E-4</v>
      </c>
      <c r="J949" s="23">
        <v>42283</v>
      </c>
      <c r="K949" s="22">
        <v>747.63589999999999</v>
      </c>
      <c r="L949">
        <f t="shared" si="28"/>
        <v>3.0592105219025001E-3</v>
      </c>
      <c r="M949" s="23">
        <v>42250</v>
      </c>
      <c r="N949" s="22">
        <v>891.42489999999998</v>
      </c>
      <c r="O949">
        <f t="shared" si="29"/>
        <v>-6.4723641269082144E-5</v>
      </c>
    </row>
    <row r="950" spans="7:15" x14ac:dyDescent="0.25">
      <c r="G950" s="23">
        <v>42284</v>
      </c>
      <c r="H950" s="22">
        <v>475.87689999999998</v>
      </c>
      <c r="I950">
        <f t="shared" si="28"/>
        <v>-3.9952351254690655E-4</v>
      </c>
      <c r="J950" s="23">
        <v>42284</v>
      </c>
      <c r="K950" s="22">
        <v>749.20320000000004</v>
      </c>
      <c r="L950">
        <f t="shared" si="28"/>
        <v>2.0963412805619086E-3</v>
      </c>
      <c r="M950" s="23">
        <v>42251</v>
      </c>
      <c r="N950" s="22">
        <v>891.77940000000001</v>
      </c>
      <c r="O950">
        <f t="shared" si="29"/>
        <v>3.9767791992351142E-4</v>
      </c>
    </row>
    <row r="951" spans="7:15" x14ac:dyDescent="0.25">
      <c r="G951" s="23">
        <v>42285</v>
      </c>
      <c r="H951" s="22">
        <v>476.01330000000002</v>
      </c>
      <c r="I951">
        <f t="shared" si="28"/>
        <v>2.8662874789686654E-4</v>
      </c>
      <c r="J951" s="23">
        <v>42285</v>
      </c>
      <c r="K951" s="22">
        <v>749.43910000000005</v>
      </c>
      <c r="L951">
        <f t="shared" si="28"/>
        <v>3.1486784893597353E-4</v>
      </c>
      <c r="M951" s="23">
        <v>42254</v>
      </c>
      <c r="N951" s="22">
        <v>891.77940000000001</v>
      </c>
      <c r="O951">
        <f t="shared" si="29"/>
        <v>0</v>
      </c>
    </row>
    <row r="952" spans="7:15" x14ac:dyDescent="0.25">
      <c r="G952" s="23">
        <v>42286</v>
      </c>
      <c r="H952" s="22">
        <v>476.05549999999999</v>
      </c>
      <c r="I952">
        <f t="shared" si="28"/>
        <v>8.8652985116066674E-5</v>
      </c>
      <c r="J952" s="23">
        <v>42286</v>
      </c>
      <c r="K952" s="22">
        <v>749.62450000000001</v>
      </c>
      <c r="L952">
        <f t="shared" si="28"/>
        <v>2.4738501100340926E-4</v>
      </c>
      <c r="M952" s="23">
        <v>42255</v>
      </c>
      <c r="N952" s="22">
        <v>891.71630000000005</v>
      </c>
      <c r="O952">
        <f t="shared" si="29"/>
        <v>-7.0757409287525164E-5</v>
      </c>
    </row>
    <row r="953" spans="7:15" x14ac:dyDescent="0.25">
      <c r="G953" s="23">
        <v>42289</v>
      </c>
      <c r="H953" s="22">
        <v>476.05549999999999</v>
      </c>
      <c r="I953">
        <f t="shared" si="28"/>
        <v>0</v>
      </c>
      <c r="J953" s="23">
        <v>42289</v>
      </c>
      <c r="K953" s="22">
        <v>749.62450000000001</v>
      </c>
      <c r="L953">
        <f t="shared" si="28"/>
        <v>0</v>
      </c>
      <c r="M953" s="23">
        <v>42256</v>
      </c>
      <c r="N953" s="22">
        <v>891.73140000000001</v>
      </c>
      <c r="O953">
        <f t="shared" si="29"/>
        <v>1.6933636852733969E-5</v>
      </c>
    </row>
    <row r="954" spans="7:15" x14ac:dyDescent="0.25">
      <c r="G954" s="23">
        <v>42290</v>
      </c>
      <c r="H954" s="22">
        <v>475.99020000000002</v>
      </c>
      <c r="I954">
        <f t="shared" si="28"/>
        <v>-1.3716888051917842E-4</v>
      </c>
      <c r="J954" s="23">
        <v>42290</v>
      </c>
      <c r="K954" s="22">
        <v>749.62559999999996</v>
      </c>
      <c r="L954">
        <f t="shared" si="28"/>
        <v>1.4674013455451274E-6</v>
      </c>
      <c r="M954" s="23">
        <v>42257</v>
      </c>
      <c r="N954" s="22">
        <v>891.73429999999996</v>
      </c>
      <c r="O954">
        <f t="shared" si="29"/>
        <v>3.2521003521246428E-6</v>
      </c>
    </row>
    <row r="955" spans="7:15" x14ac:dyDescent="0.25">
      <c r="G955" s="23">
        <v>42291</v>
      </c>
      <c r="H955" s="22">
        <v>476.33359999999999</v>
      </c>
      <c r="I955">
        <f t="shared" si="28"/>
        <v>7.2144342467539424E-4</v>
      </c>
      <c r="J955" s="23">
        <v>42291</v>
      </c>
      <c r="K955" s="22">
        <v>750.12609999999995</v>
      </c>
      <c r="L955">
        <f t="shared" si="28"/>
        <v>6.6766663251627278E-4</v>
      </c>
      <c r="M955" s="23">
        <v>42258</v>
      </c>
      <c r="N955" s="22">
        <v>891.70680000000004</v>
      </c>
      <c r="O955">
        <f t="shared" si="29"/>
        <v>-3.0838782359210448E-5</v>
      </c>
    </row>
    <row r="956" spans="7:15" x14ac:dyDescent="0.25">
      <c r="G956" s="23">
        <v>42292</v>
      </c>
      <c r="H956" s="22">
        <v>476.77600000000001</v>
      </c>
      <c r="I956">
        <f t="shared" si="28"/>
        <v>9.2876085163839939E-4</v>
      </c>
      <c r="J956" s="23">
        <v>42292</v>
      </c>
      <c r="K956" s="22">
        <v>750.75720000000001</v>
      </c>
      <c r="L956">
        <f t="shared" si="28"/>
        <v>8.4132521185442677E-4</v>
      </c>
      <c r="M956" s="23">
        <v>42261</v>
      </c>
      <c r="N956" s="22">
        <v>891.71500000000003</v>
      </c>
      <c r="O956">
        <f t="shared" si="29"/>
        <v>9.195847783027844E-6</v>
      </c>
    </row>
    <row r="957" spans="7:15" x14ac:dyDescent="0.25">
      <c r="G957" s="23">
        <v>42293</v>
      </c>
      <c r="H957" s="22">
        <v>476.733</v>
      </c>
      <c r="I957">
        <f t="shared" si="28"/>
        <v>-9.0189103478355293E-5</v>
      </c>
      <c r="J957" s="23">
        <v>42293</v>
      </c>
      <c r="K957" s="22">
        <v>750.86810000000003</v>
      </c>
      <c r="L957">
        <f t="shared" si="28"/>
        <v>1.477175310473644E-4</v>
      </c>
      <c r="M957" s="23">
        <v>42262</v>
      </c>
      <c r="N957" s="22">
        <v>891.71109999999999</v>
      </c>
      <c r="O957">
        <f t="shared" si="29"/>
        <v>-4.3735947024003963E-6</v>
      </c>
    </row>
    <row r="958" spans="7:15" x14ac:dyDescent="0.25">
      <c r="G958" s="23">
        <v>42296</v>
      </c>
      <c r="H958" s="22">
        <v>476.73669999999998</v>
      </c>
      <c r="I958">
        <f t="shared" si="28"/>
        <v>7.7611577129488296E-6</v>
      </c>
      <c r="J958" s="23">
        <v>42296</v>
      </c>
      <c r="K958" s="22">
        <v>751.10580000000004</v>
      </c>
      <c r="L958">
        <f t="shared" si="28"/>
        <v>3.1656691767834033E-4</v>
      </c>
      <c r="M958" s="23">
        <v>42263</v>
      </c>
      <c r="N958" s="22">
        <v>891.71569999999997</v>
      </c>
      <c r="O958">
        <f t="shared" si="29"/>
        <v>5.1586214413479325E-6</v>
      </c>
    </row>
    <row r="959" spans="7:15" x14ac:dyDescent="0.25">
      <c r="G959" s="23">
        <v>42297</v>
      </c>
      <c r="H959" s="22">
        <v>476.72609999999997</v>
      </c>
      <c r="I959">
        <f t="shared" si="28"/>
        <v>-2.2234495477335692E-5</v>
      </c>
      <c r="J959" s="23">
        <v>42297</v>
      </c>
      <c r="K959" s="22">
        <v>751.41399999999999</v>
      </c>
      <c r="L959">
        <f t="shared" si="28"/>
        <v>4.1032834522103379E-4</v>
      </c>
      <c r="M959" s="23">
        <v>42264</v>
      </c>
      <c r="N959" s="22">
        <v>891.80870000000004</v>
      </c>
      <c r="O959">
        <f t="shared" si="29"/>
        <v>1.0429333026218401E-4</v>
      </c>
    </row>
    <row r="960" spans="7:15" x14ac:dyDescent="0.25">
      <c r="G960" s="23">
        <v>42298</v>
      </c>
      <c r="H960" s="22">
        <v>477.0496</v>
      </c>
      <c r="I960">
        <f t="shared" si="28"/>
        <v>6.7858671887277566E-4</v>
      </c>
      <c r="J960" s="23">
        <v>42298</v>
      </c>
      <c r="K960" s="22">
        <v>751.41949999999997</v>
      </c>
      <c r="L960">
        <f t="shared" si="28"/>
        <v>7.3195335725806387E-6</v>
      </c>
      <c r="M960" s="23">
        <v>42265</v>
      </c>
      <c r="N960" s="22">
        <v>893.65589999999997</v>
      </c>
      <c r="O960">
        <f t="shared" si="29"/>
        <v>2.0712962320281747E-3</v>
      </c>
    </row>
    <row r="961" spans="7:15" x14ac:dyDescent="0.25">
      <c r="G961" s="23">
        <v>42299</v>
      </c>
      <c r="H961" s="22">
        <v>477.32279999999997</v>
      </c>
      <c r="I961">
        <f t="shared" si="28"/>
        <v>5.7268678141642049E-4</v>
      </c>
      <c r="J961" s="23">
        <v>42299</v>
      </c>
      <c r="K961" s="22">
        <v>751.51739999999995</v>
      </c>
      <c r="L961">
        <f t="shared" si="28"/>
        <v>1.3028674395587636E-4</v>
      </c>
      <c r="M961" s="23">
        <v>42268</v>
      </c>
      <c r="N961" s="22">
        <v>893.65660000000003</v>
      </c>
      <c r="O961">
        <f t="shared" si="29"/>
        <v>7.8329925434772463E-7</v>
      </c>
    </row>
    <row r="962" spans="7:15" x14ac:dyDescent="0.25">
      <c r="G962" s="23">
        <v>42300</v>
      </c>
      <c r="H962" s="22">
        <v>477.5274</v>
      </c>
      <c r="I962">
        <f t="shared" si="28"/>
        <v>4.2864074374837635E-4</v>
      </c>
      <c r="J962" s="23">
        <v>42300</v>
      </c>
      <c r="K962" s="22">
        <v>753.07889999999998</v>
      </c>
      <c r="L962">
        <f t="shared" si="28"/>
        <v>2.0777962027227481E-3</v>
      </c>
      <c r="M962" s="23">
        <v>42269</v>
      </c>
      <c r="N962" s="22">
        <v>893.66899999999998</v>
      </c>
      <c r="O962">
        <f t="shared" si="29"/>
        <v>1.3875575920252459E-5</v>
      </c>
    </row>
    <row r="963" spans="7:15" x14ac:dyDescent="0.25">
      <c r="G963" s="23">
        <v>42303</v>
      </c>
      <c r="H963" s="22">
        <v>477.89830000000001</v>
      </c>
      <c r="I963">
        <f t="shared" si="28"/>
        <v>7.7670935741069869E-4</v>
      </c>
      <c r="J963" s="23">
        <v>42303</v>
      </c>
      <c r="K963" s="22">
        <v>752.96259999999995</v>
      </c>
      <c r="L963">
        <f t="shared" si="28"/>
        <v>-1.5443268958936773E-4</v>
      </c>
      <c r="M963" s="23">
        <v>42270</v>
      </c>
      <c r="N963" s="22">
        <v>893.67560000000003</v>
      </c>
      <c r="O963">
        <f t="shared" si="29"/>
        <v>7.3852847084499018E-6</v>
      </c>
    </row>
    <row r="964" spans="7:15" x14ac:dyDescent="0.25">
      <c r="G964" s="23">
        <v>42304</v>
      </c>
      <c r="H964" s="22">
        <v>477.899</v>
      </c>
      <c r="I964">
        <f t="shared" ref="I964:L1027" si="30">H964/H963-1</f>
        <v>1.4647467880823939E-6</v>
      </c>
      <c r="J964" s="23">
        <v>42304</v>
      </c>
      <c r="K964" s="22">
        <v>753.1404</v>
      </c>
      <c r="L964">
        <f t="shared" si="30"/>
        <v>2.3613390625243369E-4</v>
      </c>
      <c r="M964" s="23">
        <v>42271</v>
      </c>
      <c r="N964" s="22">
        <v>893.67179999999996</v>
      </c>
      <c r="O964">
        <f t="shared" ref="O964:O1027" si="31">N964/N963-1</f>
        <v>-4.2521022169950129E-6</v>
      </c>
    </row>
    <row r="965" spans="7:15" x14ac:dyDescent="0.25">
      <c r="G965" s="23">
        <v>42305</v>
      </c>
      <c r="H965" s="22">
        <v>480.024</v>
      </c>
      <c r="I965">
        <f t="shared" si="30"/>
        <v>4.4465462367571096E-3</v>
      </c>
      <c r="J965" s="23">
        <v>42305</v>
      </c>
      <c r="K965" s="22">
        <v>753.19770000000005</v>
      </c>
      <c r="L965">
        <f t="shared" si="30"/>
        <v>7.6081431828800561E-5</v>
      </c>
      <c r="M965" s="23">
        <v>42272</v>
      </c>
      <c r="N965" s="22">
        <v>893.79309999999998</v>
      </c>
      <c r="O965">
        <f t="shared" si="31"/>
        <v>1.3573215580930942E-4</v>
      </c>
    </row>
    <row r="966" spans="7:15" x14ac:dyDescent="0.25">
      <c r="G966" s="23">
        <v>42306</v>
      </c>
      <c r="H966" s="22">
        <v>480.25380000000001</v>
      </c>
      <c r="I966">
        <f t="shared" si="30"/>
        <v>4.787260636969215E-4</v>
      </c>
      <c r="J966" s="23">
        <v>42306</v>
      </c>
      <c r="K966" s="22">
        <v>753.60299999999995</v>
      </c>
      <c r="L966">
        <f t="shared" si="30"/>
        <v>5.3810573239920778E-4</v>
      </c>
      <c r="M966" s="23">
        <v>42275</v>
      </c>
      <c r="N966" s="22">
        <v>932.36829999999998</v>
      </c>
      <c r="O966">
        <f t="shared" si="31"/>
        <v>4.3158981647989814E-2</v>
      </c>
    </row>
    <row r="967" spans="7:15" x14ac:dyDescent="0.25">
      <c r="G967" s="23">
        <v>42307</v>
      </c>
      <c r="H967" s="22">
        <v>479.971</v>
      </c>
      <c r="I967">
        <f t="shared" si="30"/>
        <v>-5.8885530942187625E-4</v>
      </c>
      <c r="J967" s="23">
        <v>42307</v>
      </c>
      <c r="K967" s="22">
        <v>753.88509999999997</v>
      </c>
      <c r="L967">
        <f t="shared" si="30"/>
        <v>3.7433502785955142E-4</v>
      </c>
      <c r="M967" s="23">
        <v>42276</v>
      </c>
      <c r="N967" s="22">
        <v>950.76990000000001</v>
      </c>
      <c r="O967">
        <f t="shared" si="31"/>
        <v>1.9736406739697232E-2</v>
      </c>
    </row>
    <row r="968" spans="7:15" x14ac:dyDescent="0.25">
      <c r="G968" s="23">
        <v>42310</v>
      </c>
      <c r="H968" s="22">
        <v>479.81490000000002</v>
      </c>
      <c r="I968">
        <f t="shared" si="30"/>
        <v>-3.2522798252387908E-4</v>
      </c>
      <c r="J968" s="23">
        <v>42310</v>
      </c>
      <c r="K968" s="22">
        <v>753.88610000000006</v>
      </c>
      <c r="L968">
        <f t="shared" si="30"/>
        <v>1.3264620830621965E-6</v>
      </c>
      <c r="M968" s="23">
        <v>42277</v>
      </c>
      <c r="N968" s="22">
        <v>949.14020000000005</v>
      </c>
      <c r="O968">
        <f t="shared" si="31"/>
        <v>-1.7140845540019045E-3</v>
      </c>
    </row>
    <row r="969" spans="7:15" x14ac:dyDescent="0.25">
      <c r="G969" s="23">
        <v>42311</v>
      </c>
      <c r="H969" s="22">
        <v>479.81729999999999</v>
      </c>
      <c r="I969">
        <f t="shared" si="30"/>
        <v>5.0019288686531382E-6</v>
      </c>
      <c r="J969" s="23">
        <v>42311</v>
      </c>
      <c r="K969" s="22">
        <v>754.08190000000002</v>
      </c>
      <c r="L969">
        <f t="shared" si="30"/>
        <v>2.597209313184301E-4</v>
      </c>
      <c r="M969" s="23">
        <v>42278</v>
      </c>
      <c r="N969" s="22">
        <v>949.14390000000003</v>
      </c>
      <c r="O969">
        <f t="shared" si="31"/>
        <v>3.8982649770424871E-6</v>
      </c>
    </row>
    <row r="970" spans="7:15" x14ac:dyDescent="0.25">
      <c r="G970" s="23">
        <v>42312</v>
      </c>
      <c r="H970" s="22">
        <v>480.30619999999999</v>
      </c>
      <c r="I970">
        <f t="shared" si="30"/>
        <v>1.0189294967064555E-3</v>
      </c>
      <c r="J970" s="23">
        <v>42312</v>
      </c>
      <c r="K970" s="22">
        <v>756.81510000000003</v>
      </c>
      <c r="L970">
        <f t="shared" si="30"/>
        <v>3.6245399869696548E-3</v>
      </c>
      <c r="M970" s="23">
        <v>42279</v>
      </c>
      <c r="N970" s="22">
        <v>949.15099999999995</v>
      </c>
      <c r="O970">
        <f t="shared" si="31"/>
        <v>7.4804252547799877E-6</v>
      </c>
    </row>
    <row r="971" spans="7:15" x14ac:dyDescent="0.25">
      <c r="G971" s="23">
        <v>42313</v>
      </c>
      <c r="H971" s="22">
        <v>481.53309999999999</v>
      </c>
      <c r="I971">
        <f t="shared" si="30"/>
        <v>2.5544121645733053E-3</v>
      </c>
      <c r="J971" s="23">
        <v>42313</v>
      </c>
      <c r="K971" s="22">
        <v>760.3252</v>
      </c>
      <c r="L971">
        <f t="shared" si="30"/>
        <v>4.637988856194708E-3</v>
      </c>
      <c r="M971" s="23">
        <v>42282</v>
      </c>
      <c r="N971" s="22">
        <v>949.25980000000004</v>
      </c>
      <c r="O971">
        <f t="shared" si="31"/>
        <v>1.146287577002969E-4</v>
      </c>
    </row>
    <row r="972" spans="7:15" x14ac:dyDescent="0.25">
      <c r="G972" s="23">
        <v>42314</v>
      </c>
      <c r="H972" s="22">
        <v>481.54329999999999</v>
      </c>
      <c r="I972">
        <f t="shared" si="30"/>
        <v>2.1182344474235393E-5</v>
      </c>
      <c r="J972" s="23">
        <v>42314</v>
      </c>
      <c r="K972" s="22">
        <v>760.92600000000004</v>
      </c>
      <c r="L972">
        <f t="shared" si="30"/>
        <v>7.9018819841825128E-4</v>
      </c>
      <c r="M972" s="23">
        <v>42283</v>
      </c>
      <c r="N972" s="22">
        <v>949.26390000000004</v>
      </c>
      <c r="O972">
        <f t="shared" si="31"/>
        <v>4.3191547771659344E-6</v>
      </c>
    </row>
    <row r="973" spans="7:15" x14ac:dyDescent="0.25">
      <c r="G973" s="23">
        <v>42317</v>
      </c>
      <c r="H973" s="22">
        <v>481.63260000000002</v>
      </c>
      <c r="I973">
        <f t="shared" si="30"/>
        <v>1.8544542100373818E-4</v>
      </c>
      <c r="J973" s="23">
        <v>42317</v>
      </c>
      <c r="K973" s="22">
        <v>791.9973</v>
      </c>
      <c r="L973">
        <f t="shared" si="30"/>
        <v>4.0833537032510359E-2</v>
      </c>
      <c r="M973" s="23">
        <v>42284</v>
      </c>
      <c r="N973" s="22">
        <v>951.31020000000001</v>
      </c>
      <c r="O973">
        <f t="shared" si="31"/>
        <v>2.1556703041165637E-3</v>
      </c>
    </row>
    <row r="974" spans="7:15" x14ac:dyDescent="0.25">
      <c r="G974" s="23">
        <v>42318</v>
      </c>
      <c r="H974" s="22">
        <v>482.00850000000003</v>
      </c>
      <c r="I974">
        <f t="shared" si="30"/>
        <v>7.804704249669836E-4</v>
      </c>
      <c r="J974" s="23">
        <v>42318</v>
      </c>
      <c r="K974" s="22">
        <v>791.70960000000002</v>
      </c>
      <c r="L974">
        <f t="shared" si="30"/>
        <v>-3.6325881413989958E-4</v>
      </c>
      <c r="M974" s="23">
        <v>42285</v>
      </c>
      <c r="N974" s="22">
        <v>951.2998</v>
      </c>
      <c r="O974">
        <f t="shared" si="31"/>
        <v>-1.0932291065524069E-5</v>
      </c>
    </row>
    <row r="975" spans="7:15" x14ac:dyDescent="0.25">
      <c r="G975" s="23">
        <v>42319</v>
      </c>
      <c r="H975" s="22">
        <v>482.00850000000003</v>
      </c>
      <c r="I975">
        <f t="shared" si="30"/>
        <v>0</v>
      </c>
      <c r="J975" s="23">
        <v>42319</v>
      </c>
      <c r="K975" s="22">
        <v>791.70960000000002</v>
      </c>
      <c r="L975">
        <f t="shared" si="30"/>
        <v>0</v>
      </c>
      <c r="M975" s="23">
        <v>42286</v>
      </c>
      <c r="N975" s="22">
        <v>951.38229999999999</v>
      </c>
      <c r="O975">
        <f t="shared" si="31"/>
        <v>8.6723449326919777E-5</v>
      </c>
    </row>
    <row r="976" spans="7:15" x14ac:dyDescent="0.25">
      <c r="G976" s="23">
        <v>42320</v>
      </c>
      <c r="H976" s="22">
        <v>482.06220000000002</v>
      </c>
      <c r="I976">
        <f t="shared" si="30"/>
        <v>1.1140882370330729E-4</v>
      </c>
      <c r="J976" s="23">
        <v>42320</v>
      </c>
      <c r="K976" s="22">
        <v>792.12080000000003</v>
      </c>
      <c r="L976">
        <f t="shared" si="30"/>
        <v>5.1938235939030797E-4</v>
      </c>
      <c r="M976" s="23">
        <v>42289</v>
      </c>
      <c r="N976" s="22">
        <v>951.38229999999999</v>
      </c>
      <c r="O976">
        <f t="shared" si="31"/>
        <v>0</v>
      </c>
    </row>
    <row r="977" spans="7:15" x14ac:dyDescent="0.25">
      <c r="G977" s="23">
        <v>42321</v>
      </c>
      <c r="H977" s="22">
        <v>482.16309999999999</v>
      </c>
      <c r="I977">
        <f t="shared" si="30"/>
        <v>2.0930908915905988E-4</v>
      </c>
      <c r="J977" s="23">
        <v>42321</v>
      </c>
      <c r="K977" s="22">
        <v>792.10450000000003</v>
      </c>
      <c r="L977">
        <f t="shared" si="30"/>
        <v>-2.0577669466614879E-5</v>
      </c>
      <c r="M977" s="23">
        <v>42290</v>
      </c>
      <c r="N977" s="22">
        <v>951.95090000000005</v>
      </c>
      <c r="O977">
        <f t="shared" si="31"/>
        <v>5.9765669384437281E-4</v>
      </c>
    </row>
    <row r="978" spans="7:15" x14ac:dyDescent="0.25">
      <c r="G978" s="23">
        <v>42324</v>
      </c>
      <c r="H978" s="22">
        <v>482.19639999999998</v>
      </c>
      <c r="I978">
        <f t="shared" si="30"/>
        <v>6.9063767011545707E-5</v>
      </c>
      <c r="J978" s="23">
        <v>42324</v>
      </c>
      <c r="K978" s="22">
        <v>792.05</v>
      </c>
      <c r="L978">
        <f t="shared" si="30"/>
        <v>-6.8804053000692811E-5</v>
      </c>
      <c r="M978" s="23">
        <v>42291</v>
      </c>
      <c r="N978" s="22">
        <v>952.05079999999998</v>
      </c>
      <c r="O978">
        <f t="shared" si="31"/>
        <v>1.0494238725966554E-4</v>
      </c>
    </row>
    <row r="979" spans="7:15" x14ac:dyDescent="0.25">
      <c r="G979" s="23">
        <v>42325</v>
      </c>
      <c r="H979" s="22">
        <v>482.30380000000002</v>
      </c>
      <c r="I979">
        <f t="shared" si="30"/>
        <v>2.2273082088553053E-4</v>
      </c>
      <c r="J979" s="23">
        <v>42325</v>
      </c>
      <c r="K979" s="22">
        <v>792.09349999999995</v>
      </c>
      <c r="L979">
        <f t="shared" si="30"/>
        <v>5.4920775203637362E-5</v>
      </c>
      <c r="M979" s="23">
        <v>42292</v>
      </c>
      <c r="N979" s="22">
        <v>952.23779999999999</v>
      </c>
      <c r="O979">
        <f t="shared" si="31"/>
        <v>1.9641809029513624E-4</v>
      </c>
    </row>
    <row r="980" spans="7:15" x14ac:dyDescent="0.25">
      <c r="G980" s="23">
        <v>42326</v>
      </c>
      <c r="H980" s="22">
        <v>482.2201</v>
      </c>
      <c r="I980">
        <f t="shared" si="30"/>
        <v>-1.7354207037145741E-4</v>
      </c>
      <c r="J980" s="23">
        <v>42326</v>
      </c>
      <c r="K980" s="22">
        <v>792.4171</v>
      </c>
      <c r="L980">
        <f t="shared" si="30"/>
        <v>4.0853762844927921E-4</v>
      </c>
      <c r="M980" s="23">
        <v>42293</v>
      </c>
      <c r="N980" s="22">
        <v>952.70960000000002</v>
      </c>
      <c r="O980">
        <f t="shared" si="31"/>
        <v>4.954644732650948E-4</v>
      </c>
    </row>
    <row r="981" spans="7:15" x14ac:dyDescent="0.25">
      <c r="G981" s="23">
        <v>42327</v>
      </c>
      <c r="H981" s="22">
        <v>511.68700000000001</v>
      </c>
      <c r="I981">
        <f t="shared" si="30"/>
        <v>6.1106743580369161E-2</v>
      </c>
      <c r="J981" s="23">
        <v>42327</v>
      </c>
      <c r="K981" s="22">
        <v>819.27430000000004</v>
      </c>
      <c r="L981">
        <f t="shared" si="30"/>
        <v>3.38927567312719E-2</v>
      </c>
      <c r="M981" s="23">
        <v>42296</v>
      </c>
      <c r="N981" s="22">
        <v>953.02739999999994</v>
      </c>
      <c r="O981">
        <f t="shared" si="31"/>
        <v>3.3357488997687312E-4</v>
      </c>
    </row>
    <row r="982" spans="7:15" x14ac:dyDescent="0.25">
      <c r="G982" s="23">
        <v>42328</v>
      </c>
      <c r="H982" s="22">
        <v>512.27729999999997</v>
      </c>
      <c r="I982">
        <f t="shared" si="30"/>
        <v>1.1536349369829502E-3</v>
      </c>
      <c r="J982" s="23">
        <v>42328</v>
      </c>
      <c r="K982" s="22">
        <v>818.71040000000005</v>
      </c>
      <c r="L982">
        <f t="shared" si="30"/>
        <v>-6.8829206530707232E-4</v>
      </c>
      <c r="M982" s="23">
        <v>42297</v>
      </c>
      <c r="N982" s="22">
        <v>952.77200000000005</v>
      </c>
      <c r="O982">
        <f t="shared" si="31"/>
        <v>-2.679880977187743E-4</v>
      </c>
    </row>
    <row r="983" spans="7:15" x14ac:dyDescent="0.25">
      <c r="G983" s="23">
        <v>42331</v>
      </c>
      <c r="H983" s="22">
        <v>511.47989999999999</v>
      </c>
      <c r="I983">
        <f t="shared" si="30"/>
        <v>-1.5565788294737981E-3</v>
      </c>
      <c r="J983" s="23">
        <v>42331</v>
      </c>
      <c r="K983" s="22">
        <v>818.1277</v>
      </c>
      <c r="L983">
        <f t="shared" si="30"/>
        <v>-7.1172908027072879E-4</v>
      </c>
      <c r="M983" s="23">
        <v>42298</v>
      </c>
      <c r="N983" s="22">
        <v>952.71529999999996</v>
      </c>
      <c r="O983">
        <f t="shared" si="31"/>
        <v>-5.9510564962117485E-5</v>
      </c>
    </row>
    <row r="984" spans="7:15" x14ac:dyDescent="0.25">
      <c r="G984" s="23">
        <v>42332</v>
      </c>
      <c r="H984" s="22">
        <v>511.28469999999999</v>
      </c>
      <c r="I984">
        <f t="shared" si="30"/>
        <v>-3.8163767530263737E-4</v>
      </c>
      <c r="J984" s="23">
        <v>42332</v>
      </c>
      <c r="K984" s="22">
        <v>818.06420000000003</v>
      </c>
      <c r="L984">
        <f t="shared" si="30"/>
        <v>-7.7616244994471728E-5</v>
      </c>
      <c r="M984" s="23">
        <v>42299</v>
      </c>
      <c r="N984" s="22">
        <v>952.7</v>
      </c>
      <c r="O984">
        <f t="shared" si="31"/>
        <v>-1.6059362119902332E-5</v>
      </c>
    </row>
    <row r="985" spans="7:15" x14ac:dyDescent="0.25">
      <c r="G985" s="23">
        <v>42333</v>
      </c>
      <c r="H985" s="22">
        <v>511.48559999999998</v>
      </c>
      <c r="I985">
        <f t="shared" si="30"/>
        <v>3.9293176580490474E-4</v>
      </c>
      <c r="J985" s="23">
        <v>42333</v>
      </c>
      <c r="K985" s="22">
        <v>818.09670000000006</v>
      </c>
      <c r="L985">
        <f t="shared" si="30"/>
        <v>3.9727933333288945E-5</v>
      </c>
      <c r="M985" s="23">
        <v>42300</v>
      </c>
      <c r="N985" s="22">
        <v>952.6857</v>
      </c>
      <c r="O985">
        <f t="shared" si="31"/>
        <v>-1.5009971659596388E-5</v>
      </c>
    </row>
    <row r="986" spans="7:15" x14ac:dyDescent="0.25">
      <c r="G986" s="23">
        <v>42334</v>
      </c>
      <c r="H986" s="22">
        <v>511.48559999999998</v>
      </c>
      <c r="I986">
        <f t="shared" si="30"/>
        <v>0</v>
      </c>
      <c r="J986" s="23">
        <v>42334</v>
      </c>
      <c r="K986" s="22">
        <v>818.09670000000006</v>
      </c>
      <c r="L986">
        <f t="shared" si="30"/>
        <v>0</v>
      </c>
      <c r="M986" s="23">
        <v>42303</v>
      </c>
      <c r="N986" s="22">
        <v>952.7</v>
      </c>
      <c r="O986">
        <f t="shared" si="31"/>
        <v>1.5010196962261801E-5</v>
      </c>
    </row>
    <row r="987" spans="7:15" x14ac:dyDescent="0.25">
      <c r="G987" s="23">
        <v>42335</v>
      </c>
      <c r="H987" s="22">
        <v>511.39400000000001</v>
      </c>
      <c r="I987">
        <f t="shared" si="30"/>
        <v>-1.7908617564199591E-4</v>
      </c>
      <c r="J987" s="23">
        <v>42335</v>
      </c>
      <c r="K987" s="22">
        <v>818.1671</v>
      </c>
      <c r="L987">
        <f t="shared" si="30"/>
        <v>8.6053396866070386E-5</v>
      </c>
      <c r="M987" s="23">
        <v>42304</v>
      </c>
      <c r="N987" s="22">
        <v>952.67510000000004</v>
      </c>
      <c r="O987">
        <f t="shared" si="31"/>
        <v>-2.6136244358099248E-5</v>
      </c>
    </row>
    <row r="988" spans="7:15" x14ac:dyDescent="0.25">
      <c r="G988" s="23">
        <v>42338</v>
      </c>
      <c r="H988" s="22">
        <v>510.51580000000001</v>
      </c>
      <c r="I988">
        <f t="shared" si="30"/>
        <v>-1.7172669213951774E-3</v>
      </c>
      <c r="J988" s="23">
        <v>42338</v>
      </c>
      <c r="K988" s="22">
        <v>816.9479</v>
      </c>
      <c r="L988">
        <f t="shared" si="30"/>
        <v>-1.4901601396585251E-3</v>
      </c>
      <c r="M988" s="23">
        <v>42305</v>
      </c>
      <c r="N988" s="22">
        <v>952.74109999999996</v>
      </c>
      <c r="O988">
        <f t="shared" si="31"/>
        <v>6.9278602957023594E-5</v>
      </c>
    </row>
    <row r="989" spans="7:15" x14ac:dyDescent="0.25">
      <c r="G989" s="23">
        <v>42339</v>
      </c>
      <c r="H989" s="22">
        <v>510.45589999999999</v>
      </c>
      <c r="I989">
        <f t="shared" si="30"/>
        <v>-1.1733231371102715E-4</v>
      </c>
      <c r="J989" s="23">
        <v>42339</v>
      </c>
      <c r="K989" s="22">
        <v>816.66830000000004</v>
      </c>
      <c r="L989">
        <f t="shared" si="30"/>
        <v>-3.4224948739081107E-4</v>
      </c>
      <c r="M989" s="23">
        <v>42306</v>
      </c>
      <c r="N989" s="22">
        <v>953.35820000000001</v>
      </c>
      <c r="O989">
        <f t="shared" si="31"/>
        <v>6.4771006520025765E-4</v>
      </c>
    </row>
    <row r="990" spans="7:15" x14ac:dyDescent="0.25">
      <c r="G990" s="23">
        <v>42340</v>
      </c>
      <c r="H990" s="22">
        <v>510.40339999999998</v>
      </c>
      <c r="I990">
        <f t="shared" si="30"/>
        <v>-1.0284923731906925E-4</v>
      </c>
      <c r="J990" s="23">
        <v>42340</v>
      </c>
      <c r="K990" s="22">
        <v>816.87549999999999</v>
      </c>
      <c r="L990">
        <f t="shared" si="30"/>
        <v>2.5371377828675712E-4</v>
      </c>
      <c r="M990" s="23">
        <v>42307</v>
      </c>
      <c r="N990" s="22">
        <v>953.23469999999998</v>
      </c>
      <c r="O990">
        <f t="shared" si="31"/>
        <v>-1.2954207558091291E-4</v>
      </c>
    </row>
    <row r="991" spans="7:15" x14ac:dyDescent="0.25">
      <c r="G991" s="23">
        <v>42341</v>
      </c>
      <c r="H991" s="22">
        <v>510.80309999999997</v>
      </c>
      <c r="I991">
        <f t="shared" si="30"/>
        <v>7.8310606865072963E-4</v>
      </c>
      <c r="J991" s="23">
        <v>42341</v>
      </c>
      <c r="K991" s="22">
        <v>819.57590000000005</v>
      </c>
      <c r="L991">
        <f t="shared" si="30"/>
        <v>3.3057669130731604E-3</v>
      </c>
      <c r="M991" s="23">
        <v>42310</v>
      </c>
      <c r="N991" s="22">
        <v>953.21540000000005</v>
      </c>
      <c r="O991">
        <f t="shared" si="31"/>
        <v>-2.0246850014893347E-5</v>
      </c>
    </row>
    <row r="992" spans="7:15" x14ac:dyDescent="0.25">
      <c r="G992" s="23">
        <v>42342</v>
      </c>
      <c r="H992" s="22">
        <v>512.81150000000002</v>
      </c>
      <c r="I992">
        <f t="shared" si="30"/>
        <v>3.9318477119658635E-3</v>
      </c>
      <c r="J992" s="23">
        <v>42342</v>
      </c>
      <c r="K992" s="22">
        <v>823.7373</v>
      </c>
      <c r="L992">
        <f t="shared" si="30"/>
        <v>5.0775041091373208E-3</v>
      </c>
      <c r="M992" s="23">
        <v>42311</v>
      </c>
      <c r="N992" s="22">
        <v>953.21259999999995</v>
      </c>
      <c r="O992">
        <f t="shared" si="31"/>
        <v>-2.9374263152970315E-6</v>
      </c>
    </row>
    <row r="993" spans="7:15" x14ac:dyDescent="0.25">
      <c r="G993" s="23">
        <v>42345</v>
      </c>
      <c r="H993" s="22">
        <v>512.84939999999995</v>
      </c>
      <c r="I993">
        <f t="shared" si="30"/>
        <v>7.3906298903025913E-5</v>
      </c>
      <c r="J993" s="23">
        <v>42345</v>
      </c>
      <c r="K993" s="22">
        <v>823.71699999999998</v>
      </c>
      <c r="L993">
        <f t="shared" si="30"/>
        <v>-2.4643779030109059E-5</v>
      </c>
      <c r="M993" s="23">
        <v>42312</v>
      </c>
      <c r="N993" s="22">
        <v>953.2133</v>
      </c>
      <c r="O993">
        <f t="shared" si="31"/>
        <v>7.3435873604310586E-7</v>
      </c>
    </row>
    <row r="994" spans="7:15" x14ac:dyDescent="0.25">
      <c r="G994" s="23">
        <v>42346</v>
      </c>
      <c r="H994" s="22">
        <v>512.84190000000001</v>
      </c>
      <c r="I994">
        <f t="shared" si="30"/>
        <v>-1.4624176220001672E-5</v>
      </c>
      <c r="J994" s="23">
        <v>42346</v>
      </c>
      <c r="K994" s="22">
        <v>823.80439999999999</v>
      </c>
      <c r="L994">
        <f t="shared" si="30"/>
        <v>1.0610440236158425E-4</v>
      </c>
      <c r="M994" s="23">
        <v>42313</v>
      </c>
      <c r="N994" s="22">
        <v>960.79639999999995</v>
      </c>
      <c r="O994">
        <f t="shared" si="31"/>
        <v>7.9553023441867321E-3</v>
      </c>
    </row>
    <row r="995" spans="7:15" x14ac:dyDescent="0.25">
      <c r="G995" s="23">
        <v>42347</v>
      </c>
      <c r="H995" s="22">
        <v>512.90470000000005</v>
      </c>
      <c r="I995">
        <f t="shared" si="30"/>
        <v>1.2245489301876411E-4</v>
      </c>
      <c r="J995" s="23">
        <v>42347</v>
      </c>
      <c r="K995" s="22">
        <v>823.63879999999995</v>
      </c>
      <c r="L995">
        <f t="shared" si="30"/>
        <v>-2.0101859130638999E-4</v>
      </c>
      <c r="M995" s="23">
        <v>42314</v>
      </c>
      <c r="N995" s="22">
        <v>961.98540000000003</v>
      </c>
      <c r="O995">
        <f t="shared" si="31"/>
        <v>1.237515044810733E-3</v>
      </c>
    </row>
    <row r="996" spans="7:15" x14ac:dyDescent="0.25">
      <c r="G996" s="23">
        <v>42348</v>
      </c>
      <c r="H996" s="22">
        <v>512.85559999999998</v>
      </c>
      <c r="I996">
        <f t="shared" si="30"/>
        <v>-9.57292846021085E-5</v>
      </c>
      <c r="J996" s="23">
        <v>42348</v>
      </c>
      <c r="K996" s="22">
        <v>823.63030000000003</v>
      </c>
      <c r="L996">
        <f t="shared" si="30"/>
        <v>-1.0320057772794655E-5</v>
      </c>
      <c r="M996" s="23">
        <v>42317</v>
      </c>
      <c r="N996" s="22">
        <v>976.76250000000005</v>
      </c>
      <c r="O996">
        <f t="shared" si="31"/>
        <v>1.5361043940999464E-2</v>
      </c>
    </row>
    <row r="997" spans="7:15" x14ac:dyDescent="0.25">
      <c r="G997" s="23">
        <v>42349</v>
      </c>
      <c r="H997" s="22">
        <v>512.86760000000004</v>
      </c>
      <c r="I997">
        <f t="shared" si="30"/>
        <v>2.33983990816089E-5</v>
      </c>
      <c r="J997" s="23">
        <v>42349</v>
      </c>
      <c r="K997" s="22">
        <v>823.54280000000006</v>
      </c>
      <c r="L997">
        <f t="shared" si="30"/>
        <v>-1.0623698521039504E-4</v>
      </c>
      <c r="M997" s="23">
        <v>42318</v>
      </c>
      <c r="N997" s="22">
        <v>976.4511</v>
      </c>
      <c r="O997">
        <f t="shared" si="31"/>
        <v>-3.1880830805852689E-4</v>
      </c>
    </row>
    <row r="998" spans="7:15" x14ac:dyDescent="0.25">
      <c r="G998" s="23">
        <v>42352</v>
      </c>
      <c r="H998" s="22">
        <v>522.46439999999996</v>
      </c>
      <c r="I998">
        <f t="shared" si="30"/>
        <v>1.8712041860316164E-2</v>
      </c>
      <c r="J998" s="23">
        <v>42352</v>
      </c>
      <c r="K998" s="22">
        <v>839.76530000000002</v>
      </c>
      <c r="L998">
        <f t="shared" si="30"/>
        <v>1.9698429759813285E-2</v>
      </c>
      <c r="M998" s="23">
        <v>42319</v>
      </c>
      <c r="N998" s="22">
        <v>976.4511</v>
      </c>
      <c r="O998">
        <f t="shared" si="31"/>
        <v>0</v>
      </c>
    </row>
    <row r="999" spans="7:15" x14ac:dyDescent="0.25">
      <c r="G999" s="23">
        <v>42353</v>
      </c>
      <c r="H999" s="22">
        <v>522.69510000000002</v>
      </c>
      <c r="I999">
        <f t="shared" si="30"/>
        <v>4.4156118579574688E-4</v>
      </c>
      <c r="J999" s="23">
        <v>42353</v>
      </c>
      <c r="K999" s="22">
        <v>840.02949999999998</v>
      </c>
      <c r="L999">
        <f t="shared" si="30"/>
        <v>3.1461171353464046E-4</v>
      </c>
      <c r="M999" s="23">
        <v>42320</v>
      </c>
      <c r="N999" s="22">
        <v>976.45709999999997</v>
      </c>
      <c r="O999">
        <f t="shared" si="31"/>
        <v>6.1447009480630754E-6</v>
      </c>
    </row>
    <row r="1000" spans="7:15" x14ac:dyDescent="0.25">
      <c r="G1000" s="23">
        <v>42354</v>
      </c>
      <c r="H1000" s="22">
        <v>522.84739999999999</v>
      </c>
      <c r="I1000">
        <f t="shared" si="30"/>
        <v>2.9137445520333038E-4</v>
      </c>
      <c r="J1000" s="23">
        <v>42354</v>
      </c>
      <c r="K1000" s="22">
        <v>840.39020000000005</v>
      </c>
      <c r="L1000">
        <f t="shared" si="30"/>
        <v>4.2938968214811801E-4</v>
      </c>
      <c r="M1000" s="23">
        <v>42321</v>
      </c>
      <c r="N1000" s="22">
        <v>976.46019999999999</v>
      </c>
      <c r="O1000">
        <f t="shared" si="31"/>
        <v>3.17474264877049E-6</v>
      </c>
    </row>
    <row r="1001" spans="7:15" x14ac:dyDescent="0.25">
      <c r="G1001" s="23">
        <v>42355</v>
      </c>
      <c r="H1001" s="22">
        <v>522.85260000000005</v>
      </c>
      <c r="I1001">
        <f t="shared" si="30"/>
        <v>9.9455405153658916E-6</v>
      </c>
      <c r="J1001" s="23">
        <v>42355</v>
      </c>
      <c r="K1001" s="22">
        <v>840.67240000000004</v>
      </c>
      <c r="L1001">
        <f t="shared" si="30"/>
        <v>3.3579639553149576E-4</v>
      </c>
      <c r="M1001" s="23">
        <v>42324</v>
      </c>
      <c r="N1001" s="22">
        <v>976.45690000000002</v>
      </c>
      <c r="O1001">
        <f t="shared" si="31"/>
        <v>-3.3795540258507728E-6</v>
      </c>
    </row>
    <row r="1002" spans="7:15" x14ac:dyDescent="0.25">
      <c r="G1002" s="23">
        <v>42356</v>
      </c>
      <c r="H1002" s="22">
        <v>523.18759999999997</v>
      </c>
      <c r="I1002">
        <f t="shared" si="30"/>
        <v>6.4071594938974741E-4</v>
      </c>
      <c r="J1002" s="23">
        <v>42356</v>
      </c>
      <c r="K1002" s="22">
        <v>920.17830000000004</v>
      </c>
      <c r="L1002">
        <f t="shared" si="30"/>
        <v>9.4574176575798141E-2</v>
      </c>
      <c r="M1002" s="23">
        <v>42325</v>
      </c>
      <c r="N1002" s="22">
        <v>976.48320000000001</v>
      </c>
      <c r="O1002">
        <f t="shared" si="31"/>
        <v>2.6934112504095609E-5</v>
      </c>
    </row>
    <row r="1003" spans="7:15" x14ac:dyDescent="0.25">
      <c r="G1003" s="23">
        <v>42359</v>
      </c>
      <c r="H1003" s="22">
        <v>523.80050000000006</v>
      </c>
      <c r="I1003">
        <f t="shared" si="30"/>
        <v>1.1714727183902429E-3</v>
      </c>
      <c r="J1003" s="23">
        <v>42359</v>
      </c>
      <c r="K1003" s="22">
        <v>919.61800000000005</v>
      </c>
      <c r="L1003">
        <f t="shared" si="30"/>
        <v>-6.0890373093991368E-4</v>
      </c>
      <c r="M1003" s="23">
        <v>42326</v>
      </c>
      <c r="N1003" s="22">
        <v>976.52629999999999</v>
      </c>
      <c r="O1003">
        <f t="shared" si="31"/>
        <v>4.4137984145597997E-5</v>
      </c>
    </row>
    <row r="1004" spans="7:15" x14ac:dyDescent="0.25">
      <c r="G1004" s="23">
        <v>42360</v>
      </c>
      <c r="H1004" s="22">
        <v>524.01160000000004</v>
      </c>
      <c r="I1004">
        <f t="shared" si="30"/>
        <v>4.0301603377623785E-4</v>
      </c>
      <c r="J1004" s="23">
        <v>42360</v>
      </c>
      <c r="K1004" s="22">
        <v>919.37</v>
      </c>
      <c r="L1004">
        <f t="shared" si="30"/>
        <v>-2.6967719205150953E-4</v>
      </c>
      <c r="M1004" s="23">
        <v>42327</v>
      </c>
      <c r="N1004" s="22">
        <v>1020.105</v>
      </c>
      <c r="O1004">
        <f t="shared" si="31"/>
        <v>4.4626243041278046E-2</v>
      </c>
    </row>
    <row r="1005" spans="7:15" x14ac:dyDescent="0.25">
      <c r="G1005" s="23">
        <v>42361</v>
      </c>
      <c r="H1005" s="22">
        <v>551.12599999999998</v>
      </c>
      <c r="I1005">
        <f t="shared" si="30"/>
        <v>5.174389269245161E-2</v>
      </c>
      <c r="J1005" s="23">
        <v>42361</v>
      </c>
      <c r="K1005" s="22">
        <v>919.14599999999996</v>
      </c>
      <c r="L1005">
        <f t="shared" si="30"/>
        <v>-2.4364510480012758E-4</v>
      </c>
      <c r="M1005" s="23">
        <v>42328</v>
      </c>
      <c r="N1005" s="22">
        <v>1022.13</v>
      </c>
      <c r="O1005">
        <f t="shared" si="31"/>
        <v>1.9850897701707559E-3</v>
      </c>
    </row>
    <row r="1006" spans="7:15" x14ac:dyDescent="0.25">
      <c r="G1006" s="23">
        <v>42362</v>
      </c>
      <c r="H1006" s="22">
        <v>551.49310000000003</v>
      </c>
      <c r="I1006">
        <f t="shared" si="30"/>
        <v>6.6609087577074177E-4</v>
      </c>
      <c r="J1006" s="23">
        <v>42362</v>
      </c>
      <c r="K1006" s="22">
        <v>919.32690000000002</v>
      </c>
      <c r="L1006">
        <f t="shared" si="30"/>
        <v>1.9681312870867274E-4</v>
      </c>
      <c r="M1006" s="23">
        <v>42331</v>
      </c>
      <c r="N1006" s="22">
        <v>1022.14</v>
      </c>
      <c r="O1006">
        <f t="shared" si="31"/>
        <v>9.7834913366234844E-6</v>
      </c>
    </row>
    <row r="1007" spans="7:15" x14ac:dyDescent="0.25">
      <c r="G1007" s="23">
        <v>42363</v>
      </c>
      <c r="H1007" s="22">
        <v>551.49310000000003</v>
      </c>
      <c r="I1007">
        <f t="shared" si="30"/>
        <v>0</v>
      </c>
      <c r="J1007" s="23">
        <v>42363</v>
      </c>
      <c r="K1007" s="22">
        <v>919.32690000000002</v>
      </c>
      <c r="L1007">
        <f t="shared" si="30"/>
        <v>0</v>
      </c>
      <c r="M1007" s="23">
        <v>42332</v>
      </c>
      <c r="N1007" s="22">
        <v>1022.222</v>
      </c>
      <c r="O1007">
        <f t="shared" si="31"/>
        <v>8.0223844091786845E-5</v>
      </c>
    </row>
    <row r="1008" spans="7:15" x14ac:dyDescent="0.25">
      <c r="G1008" s="23">
        <v>42366</v>
      </c>
      <c r="H1008" s="22">
        <v>551.39710000000002</v>
      </c>
      <c r="I1008">
        <f t="shared" si="30"/>
        <v>-1.7407289411242033E-4</v>
      </c>
      <c r="J1008" s="23">
        <v>42366</v>
      </c>
      <c r="K1008" s="22">
        <v>919.13390000000004</v>
      </c>
      <c r="L1008">
        <f t="shared" si="30"/>
        <v>-2.0993620441212002E-4</v>
      </c>
      <c r="M1008" s="23">
        <v>42333</v>
      </c>
      <c r="N1008" s="22">
        <v>1022.296</v>
      </c>
      <c r="O1008">
        <f t="shared" si="31"/>
        <v>7.239132008507454E-5</v>
      </c>
    </row>
    <row r="1009" spans="7:15" x14ac:dyDescent="0.25">
      <c r="G1009" s="23">
        <v>42367</v>
      </c>
      <c r="H1009" s="22">
        <v>551.35479999999995</v>
      </c>
      <c r="I1009">
        <f t="shared" si="30"/>
        <v>-7.6714222835172485E-5</v>
      </c>
      <c r="J1009" s="23">
        <v>42367</v>
      </c>
      <c r="K1009" s="22">
        <v>919.11440000000005</v>
      </c>
      <c r="L1009">
        <f t="shared" si="30"/>
        <v>-2.1215624839809877E-5</v>
      </c>
      <c r="M1009" s="23">
        <v>42334</v>
      </c>
      <c r="N1009" s="22">
        <v>1022.296</v>
      </c>
      <c r="O1009">
        <f t="shared" si="31"/>
        <v>0</v>
      </c>
    </row>
    <row r="1010" spans="7:15" x14ac:dyDescent="0.25">
      <c r="G1010" s="23">
        <v>42368</v>
      </c>
      <c r="H1010" s="22">
        <v>551.29459999999995</v>
      </c>
      <c r="I1010">
        <f t="shared" si="30"/>
        <v>-1.0918559156469776E-4</v>
      </c>
      <c r="J1010" s="23">
        <v>42368</v>
      </c>
      <c r="K1010" s="22">
        <v>919.09739999999999</v>
      </c>
      <c r="L1010">
        <f t="shared" si="30"/>
        <v>-1.8496065342987755E-5</v>
      </c>
      <c r="M1010" s="23">
        <v>42335</v>
      </c>
      <c r="N1010" s="22">
        <v>1022.439</v>
      </c>
      <c r="O1010">
        <f t="shared" si="31"/>
        <v>1.3988120857355568E-4</v>
      </c>
    </row>
    <row r="1011" spans="7:15" x14ac:dyDescent="0.25">
      <c r="G1011" s="23">
        <v>42369</v>
      </c>
      <c r="H1011" s="22">
        <v>549.79330000000004</v>
      </c>
      <c r="I1011">
        <f t="shared" si="30"/>
        <v>-2.7232263838606885E-3</v>
      </c>
      <c r="J1011" s="23">
        <v>42369</v>
      </c>
      <c r="K1011" s="22">
        <v>915.25260000000003</v>
      </c>
      <c r="L1011">
        <f t="shared" si="30"/>
        <v>-4.1832345516372715E-3</v>
      </c>
      <c r="M1011" s="23">
        <v>42338</v>
      </c>
      <c r="N1011" s="22">
        <v>1019.971</v>
      </c>
      <c r="O1011">
        <f t="shared" si="31"/>
        <v>-2.4138359354445305E-3</v>
      </c>
    </row>
    <row r="1012" spans="7:15" x14ac:dyDescent="0.25">
      <c r="G1012" s="23">
        <v>42370</v>
      </c>
      <c r="H1012" s="22">
        <v>549.79330000000004</v>
      </c>
      <c r="I1012">
        <f t="shared" si="30"/>
        <v>0</v>
      </c>
      <c r="J1012" s="23">
        <v>42370</v>
      </c>
      <c r="K1012" s="22">
        <v>915.25260000000003</v>
      </c>
      <c r="L1012">
        <f t="shared" si="30"/>
        <v>0</v>
      </c>
      <c r="M1012" s="23">
        <v>42339</v>
      </c>
      <c r="N1012" s="22">
        <v>1020.684</v>
      </c>
      <c r="O1012">
        <f t="shared" si="31"/>
        <v>6.9903948249505632E-4</v>
      </c>
    </row>
    <row r="1013" spans="7:15" x14ac:dyDescent="0.25">
      <c r="G1013" s="23">
        <v>42373</v>
      </c>
      <c r="H1013" s="22">
        <v>556.72130000000004</v>
      </c>
      <c r="I1013">
        <f t="shared" si="30"/>
        <v>1.2601099358613421E-2</v>
      </c>
      <c r="J1013" s="23">
        <v>42373</v>
      </c>
      <c r="K1013" s="22">
        <v>927.43079999999998</v>
      </c>
      <c r="L1013">
        <f t="shared" si="30"/>
        <v>1.3305834913771353E-2</v>
      </c>
      <c r="M1013" s="23">
        <v>42340</v>
      </c>
      <c r="N1013" s="22">
        <v>1021.226</v>
      </c>
      <c r="O1013">
        <f t="shared" si="31"/>
        <v>5.3101645563180533E-4</v>
      </c>
    </row>
    <row r="1014" spans="7:15" x14ac:dyDescent="0.25">
      <c r="G1014" s="23">
        <v>42374</v>
      </c>
      <c r="H1014" s="22">
        <v>556.54380000000003</v>
      </c>
      <c r="I1014">
        <f t="shared" si="30"/>
        <v>-3.1883098419260847E-4</v>
      </c>
      <c r="J1014" s="23">
        <v>42374</v>
      </c>
      <c r="K1014" s="22">
        <v>925.22950000000003</v>
      </c>
      <c r="L1014">
        <f t="shared" si="30"/>
        <v>-2.3735463605477625E-3</v>
      </c>
      <c r="M1014" s="23">
        <v>42341</v>
      </c>
      <c r="N1014" s="22">
        <v>1027.6769999999999</v>
      </c>
      <c r="O1014">
        <f t="shared" si="31"/>
        <v>6.3169171172687832E-3</v>
      </c>
    </row>
    <row r="1015" spans="7:15" x14ac:dyDescent="0.25">
      <c r="G1015" s="23">
        <v>42375</v>
      </c>
      <c r="H1015" s="22">
        <v>556.274</v>
      </c>
      <c r="I1015">
        <f t="shared" si="30"/>
        <v>-4.8477765811072437E-4</v>
      </c>
      <c r="J1015" s="23">
        <v>42375</v>
      </c>
      <c r="K1015" s="22">
        <v>924.3913</v>
      </c>
      <c r="L1015">
        <f t="shared" si="30"/>
        <v>-9.0593739174982257E-4</v>
      </c>
      <c r="M1015" s="23">
        <v>42342</v>
      </c>
      <c r="N1015" s="22">
        <v>1027.5840000000001</v>
      </c>
      <c r="O1015">
        <f t="shared" si="31"/>
        <v>-9.0495359923226104E-5</v>
      </c>
    </row>
    <row r="1016" spans="7:15" x14ac:dyDescent="0.25">
      <c r="G1016" s="23">
        <v>42376</v>
      </c>
      <c r="H1016" s="22">
        <v>555.20389999999998</v>
      </c>
      <c r="I1016">
        <f t="shared" si="30"/>
        <v>-1.9236922811420865E-3</v>
      </c>
      <c r="J1016" s="23">
        <v>42376</v>
      </c>
      <c r="K1016" s="22">
        <v>921.94659999999999</v>
      </c>
      <c r="L1016">
        <f t="shared" si="30"/>
        <v>-2.644659247658443E-3</v>
      </c>
      <c r="M1016" s="23">
        <v>42345</v>
      </c>
      <c r="N1016" s="22">
        <v>1028.3820000000001</v>
      </c>
      <c r="O1016">
        <f t="shared" si="31"/>
        <v>7.7657884902837537E-4</v>
      </c>
    </row>
    <row r="1017" spans="7:15" x14ac:dyDescent="0.25">
      <c r="G1017" s="23">
        <v>42377</v>
      </c>
      <c r="H1017" s="22">
        <v>555.19069999999999</v>
      </c>
      <c r="I1017">
        <f t="shared" si="30"/>
        <v>-2.377504913053663E-5</v>
      </c>
      <c r="J1017" s="23">
        <v>42377</v>
      </c>
      <c r="K1017" s="22">
        <v>918.88819999999998</v>
      </c>
      <c r="L1017">
        <f t="shared" si="30"/>
        <v>-3.3173287910601701E-3</v>
      </c>
      <c r="M1017" s="23">
        <v>42346</v>
      </c>
      <c r="N1017" s="22">
        <v>1028.3910000000001</v>
      </c>
      <c r="O1017">
        <f t="shared" si="31"/>
        <v>8.7516117552866035E-6</v>
      </c>
    </row>
    <row r="1018" spans="7:15" x14ac:dyDescent="0.25">
      <c r="G1018" s="23">
        <v>42380</v>
      </c>
      <c r="H1018" s="22">
        <v>555.10850000000005</v>
      </c>
      <c r="I1018">
        <f t="shared" si="30"/>
        <v>-1.4805723510846747E-4</v>
      </c>
      <c r="J1018" s="23">
        <v>42380</v>
      </c>
      <c r="K1018" s="22">
        <v>918.33860000000004</v>
      </c>
      <c r="L1018">
        <f t="shared" si="30"/>
        <v>-5.9811411224997002E-4</v>
      </c>
      <c r="M1018" s="23">
        <v>42347</v>
      </c>
      <c r="N1018" s="22">
        <v>1028.3989999999999</v>
      </c>
      <c r="O1018">
        <f t="shared" si="31"/>
        <v>7.7791423687134653E-6</v>
      </c>
    </row>
    <row r="1019" spans="7:15" x14ac:dyDescent="0.25">
      <c r="G1019" s="23">
        <v>42381</v>
      </c>
      <c r="H1019" s="22">
        <v>555.02589999999998</v>
      </c>
      <c r="I1019">
        <f t="shared" si="30"/>
        <v>-1.4879973915027378E-4</v>
      </c>
      <c r="J1019" s="23">
        <v>42381</v>
      </c>
      <c r="K1019" s="22">
        <v>918.54930000000002</v>
      </c>
      <c r="L1019">
        <f t="shared" si="30"/>
        <v>2.2943607074776828E-4</v>
      </c>
      <c r="M1019" s="23">
        <v>42348</v>
      </c>
      <c r="N1019" s="22">
        <v>1028.413</v>
      </c>
      <c r="O1019">
        <f t="shared" si="31"/>
        <v>1.3613393245348604E-5</v>
      </c>
    </row>
    <row r="1020" spans="7:15" x14ac:dyDescent="0.25">
      <c r="G1020" s="23">
        <v>42382</v>
      </c>
      <c r="H1020" s="22">
        <v>553.87900000000002</v>
      </c>
      <c r="I1020">
        <f t="shared" si="30"/>
        <v>-2.0663900549504621E-3</v>
      </c>
      <c r="J1020" s="23">
        <v>42382</v>
      </c>
      <c r="K1020" s="22">
        <v>916.56290000000001</v>
      </c>
      <c r="L1020">
        <f t="shared" si="30"/>
        <v>-2.1625404319616237E-3</v>
      </c>
      <c r="M1020" s="23">
        <v>42349</v>
      </c>
      <c r="N1020" s="22">
        <v>1028.413</v>
      </c>
      <c r="O1020">
        <f t="shared" si="31"/>
        <v>0</v>
      </c>
    </row>
    <row r="1021" spans="7:15" x14ac:dyDescent="0.25">
      <c r="G1021" s="23">
        <v>42383</v>
      </c>
      <c r="H1021" s="22">
        <v>564.8723</v>
      </c>
      <c r="I1021">
        <f t="shared" si="30"/>
        <v>1.9847836801900831E-2</v>
      </c>
      <c r="J1021" s="23">
        <v>42383</v>
      </c>
      <c r="K1021" s="22">
        <v>928.79989999999998</v>
      </c>
      <c r="L1021">
        <f t="shared" si="30"/>
        <v>1.3350965874791454E-2</v>
      </c>
      <c r="M1021" s="23">
        <v>42352</v>
      </c>
      <c r="N1021" s="22">
        <v>1050.3240000000001</v>
      </c>
      <c r="O1021">
        <f t="shared" si="31"/>
        <v>2.1305642771921374E-2</v>
      </c>
    </row>
    <row r="1022" spans="7:15" x14ac:dyDescent="0.25">
      <c r="G1022" s="23">
        <v>42384</v>
      </c>
      <c r="H1022" s="22">
        <v>587.83270000000005</v>
      </c>
      <c r="I1022">
        <f t="shared" si="30"/>
        <v>4.0647063061863831E-2</v>
      </c>
      <c r="J1022" s="23">
        <v>42384</v>
      </c>
      <c r="K1022" s="22">
        <v>995.56970000000001</v>
      </c>
      <c r="L1022">
        <f t="shared" si="30"/>
        <v>7.1888250633963313E-2</v>
      </c>
      <c r="M1022" s="23">
        <v>42353</v>
      </c>
      <c r="N1022" s="22">
        <v>1049.9059999999999</v>
      </c>
      <c r="O1022">
        <f t="shared" si="31"/>
        <v>-3.9797243517247782E-4</v>
      </c>
    </row>
    <row r="1023" spans="7:15" x14ac:dyDescent="0.25">
      <c r="G1023" s="23">
        <v>42387</v>
      </c>
      <c r="H1023" s="22">
        <v>587.83270000000005</v>
      </c>
      <c r="I1023">
        <f t="shared" si="30"/>
        <v>0</v>
      </c>
      <c r="J1023" s="23">
        <v>42387</v>
      </c>
      <c r="K1023" s="22">
        <v>995.56970000000001</v>
      </c>
      <c r="L1023">
        <f t="shared" si="30"/>
        <v>0</v>
      </c>
      <c r="M1023" s="23">
        <v>42354</v>
      </c>
      <c r="N1023" s="22">
        <v>1049.904</v>
      </c>
      <c r="O1023">
        <f t="shared" si="31"/>
        <v>-1.9049324415654212E-6</v>
      </c>
    </row>
    <row r="1024" spans="7:15" x14ac:dyDescent="0.25">
      <c r="G1024" s="23">
        <v>42388</v>
      </c>
      <c r="H1024" s="22">
        <v>587.79480000000001</v>
      </c>
      <c r="I1024">
        <f t="shared" si="30"/>
        <v>-6.4474126737157356E-5</v>
      </c>
      <c r="J1024" s="23">
        <v>42388</v>
      </c>
      <c r="K1024" s="22">
        <v>995.09619999999995</v>
      </c>
      <c r="L1024">
        <f t="shared" si="30"/>
        <v>-4.7560708205574009E-4</v>
      </c>
      <c r="M1024" s="23">
        <v>42355</v>
      </c>
      <c r="N1024" s="22">
        <v>1050.1579999999999</v>
      </c>
      <c r="O1024">
        <f t="shared" si="31"/>
        <v>2.4192688093371828E-4</v>
      </c>
    </row>
    <row r="1025" spans="7:15" x14ac:dyDescent="0.25">
      <c r="G1025" s="23">
        <v>42389</v>
      </c>
      <c r="H1025" s="22">
        <v>612.15189999999996</v>
      </c>
      <c r="I1025">
        <f t="shared" si="30"/>
        <v>4.1438100507183773E-2</v>
      </c>
      <c r="J1025" s="23">
        <v>42389</v>
      </c>
      <c r="K1025" s="22">
        <v>1050.684</v>
      </c>
      <c r="L1025">
        <f t="shared" si="30"/>
        <v>5.586173477498968E-2</v>
      </c>
      <c r="M1025" s="23">
        <v>42356</v>
      </c>
      <c r="N1025" s="22">
        <v>1180.2339999999999</v>
      </c>
      <c r="O1025">
        <f t="shared" si="31"/>
        <v>0.12386326628945366</v>
      </c>
    </row>
    <row r="1026" spans="7:15" x14ac:dyDescent="0.25">
      <c r="G1026" s="23">
        <v>42390</v>
      </c>
      <c r="H1026" s="22">
        <v>612.1472</v>
      </c>
      <c r="I1026">
        <f t="shared" si="30"/>
        <v>-7.6778329037852089E-6</v>
      </c>
      <c r="J1026" s="23">
        <v>42390</v>
      </c>
      <c r="K1026" s="22">
        <v>1043.701</v>
      </c>
      <c r="L1026">
        <f t="shared" si="30"/>
        <v>-6.646146700625466E-3</v>
      </c>
      <c r="M1026" s="23">
        <v>42359</v>
      </c>
      <c r="N1026" s="22">
        <v>1182.925</v>
      </c>
      <c r="O1026">
        <f t="shared" si="31"/>
        <v>2.2800563278129182E-3</v>
      </c>
    </row>
    <row r="1027" spans="7:15" x14ac:dyDescent="0.25">
      <c r="G1027" s="23">
        <v>42391</v>
      </c>
      <c r="H1027" s="22">
        <v>612.09059999999999</v>
      </c>
      <c r="I1027">
        <f t="shared" si="30"/>
        <v>-9.2461421043799064E-5</v>
      </c>
      <c r="J1027" s="23">
        <v>42391</v>
      </c>
      <c r="K1027" s="22">
        <v>1043.0429999999999</v>
      </c>
      <c r="L1027">
        <f t="shared" si="30"/>
        <v>-6.304487587921459E-4</v>
      </c>
      <c r="M1027" s="23">
        <v>42360</v>
      </c>
      <c r="N1027" s="22">
        <v>1182.9670000000001</v>
      </c>
      <c r="O1027">
        <f t="shared" si="31"/>
        <v>3.5505209544206551E-5</v>
      </c>
    </row>
    <row r="1028" spans="7:15" x14ac:dyDescent="0.25">
      <c r="G1028" s="23">
        <v>42394</v>
      </c>
      <c r="H1028" s="22">
        <v>612.20910000000003</v>
      </c>
      <c r="I1028">
        <f t="shared" ref="I1028:L1091" si="32">H1028/H1027-1</f>
        <v>1.9359879076730202E-4</v>
      </c>
      <c r="J1028" s="23">
        <v>42394</v>
      </c>
      <c r="K1028" s="22">
        <v>1044.1990000000001</v>
      </c>
      <c r="L1028">
        <f t="shared" si="32"/>
        <v>1.1082956311485592E-3</v>
      </c>
      <c r="M1028" s="23">
        <v>42361</v>
      </c>
      <c r="N1028" s="22">
        <v>1185.1980000000001</v>
      </c>
      <c r="O1028">
        <f t="shared" ref="O1028:O1091" si="33">N1028/N1027-1</f>
        <v>1.8859359559479927E-3</v>
      </c>
    </row>
    <row r="1029" spans="7:15" x14ac:dyDescent="0.25">
      <c r="G1029" s="23">
        <v>42395</v>
      </c>
      <c r="H1029" s="22">
        <v>611.96460000000002</v>
      </c>
      <c r="I1029">
        <f t="shared" si="32"/>
        <v>-3.9937335135986629E-4</v>
      </c>
      <c r="J1029" s="23">
        <v>42395</v>
      </c>
      <c r="K1029" s="22">
        <v>1044.1690000000001</v>
      </c>
      <c r="L1029">
        <f t="shared" si="32"/>
        <v>-2.8730155841927285E-5</v>
      </c>
      <c r="M1029" s="23">
        <v>42362</v>
      </c>
      <c r="N1029" s="22">
        <v>1185.2170000000001</v>
      </c>
      <c r="O1029">
        <f t="shared" si="33"/>
        <v>1.6031076663924893E-5</v>
      </c>
    </row>
    <row r="1030" spans="7:15" x14ac:dyDescent="0.25">
      <c r="G1030" s="23">
        <v>42396</v>
      </c>
      <c r="H1030" s="22">
        <v>647.03599999999994</v>
      </c>
      <c r="I1030">
        <f t="shared" si="32"/>
        <v>5.7309524112995947E-2</v>
      </c>
      <c r="J1030" s="23">
        <v>42396</v>
      </c>
      <c r="K1030" s="22">
        <v>1065.4280000000001</v>
      </c>
      <c r="L1030">
        <f t="shared" si="32"/>
        <v>2.035973103970723E-2</v>
      </c>
      <c r="M1030" s="23">
        <v>42363</v>
      </c>
      <c r="N1030" s="22">
        <v>1185.2170000000001</v>
      </c>
      <c r="O1030">
        <f t="shared" si="33"/>
        <v>0</v>
      </c>
    </row>
    <row r="1031" spans="7:15" x14ac:dyDescent="0.25">
      <c r="G1031" s="23">
        <v>42397</v>
      </c>
      <c r="H1031" s="22">
        <v>645.76220000000001</v>
      </c>
      <c r="I1031">
        <f t="shared" si="32"/>
        <v>-1.9686694403401317E-3</v>
      </c>
      <c r="J1031" s="23">
        <v>42397</v>
      </c>
      <c r="K1031" s="22">
        <v>1065.0319999999999</v>
      </c>
      <c r="L1031">
        <f t="shared" si="32"/>
        <v>-3.7168161527589838E-4</v>
      </c>
      <c r="M1031" s="23">
        <v>42366</v>
      </c>
      <c r="N1031" s="22">
        <v>1185.25</v>
      </c>
      <c r="O1031">
        <f t="shared" si="33"/>
        <v>2.7843002589289512E-5</v>
      </c>
    </row>
    <row r="1032" spans="7:15" x14ac:dyDescent="0.25">
      <c r="G1032" s="23">
        <v>42398</v>
      </c>
      <c r="H1032" s="22">
        <v>608.6771</v>
      </c>
      <c r="I1032">
        <f t="shared" si="32"/>
        <v>-5.7428415599426574E-2</v>
      </c>
      <c r="J1032" s="23">
        <v>42398</v>
      </c>
      <c r="K1032" s="22">
        <v>1059.9639999999999</v>
      </c>
      <c r="L1032">
        <f t="shared" si="32"/>
        <v>-4.7585424663296738E-3</v>
      </c>
      <c r="M1032" s="23">
        <v>42367</v>
      </c>
      <c r="N1032" s="22">
        <v>1185.3009999999999</v>
      </c>
      <c r="O1032">
        <f t="shared" si="33"/>
        <v>4.3028896857144616E-5</v>
      </c>
    </row>
    <row r="1033" spans="7:15" x14ac:dyDescent="0.25">
      <c r="G1033" s="23">
        <v>42401</v>
      </c>
      <c r="H1033" s="22">
        <v>608.4982</v>
      </c>
      <c r="I1033">
        <f t="shared" si="32"/>
        <v>-2.9391610100004684E-4</v>
      </c>
      <c r="J1033" s="23">
        <v>42401</v>
      </c>
      <c r="K1033" s="22">
        <v>1057.7380000000001</v>
      </c>
      <c r="L1033">
        <f t="shared" si="32"/>
        <v>-2.1000713231769108E-3</v>
      </c>
      <c r="M1033" s="23">
        <v>42368</v>
      </c>
      <c r="N1033" s="22">
        <v>1185.309</v>
      </c>
      <c r="O1033">
        <f t="shared" si="33"/>
        <v>6.7493404629637155E-6</v>
      </c>
    </row>
    <row r="1034" spans="7:15" x14ac:dyDescent="0.25">
      <c r="G1034" s="23">
        <v>42402</v>
      </c>
      <c r="H1034" s="22">
        <v>609.00149999999996</v>
      </c>
      <c r="I1034">
        <f t="shared" si="32"/>
        <v>8.2711830536230657E-4</v>
      </c>
      <c r="J1034" s="23">
        <v>42402</v>
      </c>
      <c r="K1034" s="22">
        <v>1056.143</v>
      </c>
      <c r="L1034">
        <f t="shared" si="32"/>
        <v>-1.5079348572142326E-3</v>
      </c>
      <c r="M1034" s="23">
        <v>42369</v>
      </c>
      <c r="N1034" s="22">
        <v>1177.396</v>
      </c>
      <c r="O1034">
        <f t="shared" si="33"/>
        <v>-6.6758963274555772E-3</v>
      </c>
    </row>
    <row r="1035" spans="7:15" x14ac:dyDescent="0.25">
      <c r="G1035" s="23">
        <v>42403</v>
      </c>
      <c r="H1035" s="22">
        <v>609.64620000000002</v>
      </c>
      <c r="I1035">
        <f t="shared" si="32"/>
        <v>1.0586180822216296E-3</v>
      </c>
      <c r="J1035" s="23">
        <v>42403</v>
      </c>
      <c r="K1035" s="22">
        <v>1055.425</v>
      </c>
      <c r="L1035">
        <f t="shared" si="32"/>
        <v>-6.7983218181633109E-4</v>
      </c>
      <c r="M1035" s="23">
        <v>42370</v>
      </c>
      <c r="N1035" s="22">
        <v>1177.396</v>
      </c>
      <c r="O1035">
        <f t="shared" si="33"/>
        <v>0</v>
      </c>
    </row>
    <row r="1036" spans="7:15" x14ac:dyDescent="0.25">
      <c r="G1036" s="23">
        <v>42404</v>
      </c>
      <c r="H1036" s="22">
        <v>629.61500000000001</v>
      </c>
      <c r="I1036">
        <f t="shared" si="32"/>
        <v>3.2754735451479888E-2</v>
      </c>
      <c r="J1036" s="23">
        <v>42404</v>
      </c>
      <c r="K1036" s="22">
        <v>1075.723</v>
      </c>
      <c r="L1036">
        <f t="shared" si="32"/>
        <v>1.9232062913044468E-2</v>
      </c>
      <c r="M1036" s="23">
        <v>42373</v>
      </c>
      <c r="N1036" s="22">
        <v>1195.348</v>
      </c>
      <c r="O1036">
        <f t="shared" si="33"/>
        <v>1.5247206547329917E-2</v>
      </c>
    </row>
    <row r="1037" spans="7:15" x14ac:dyDescent="0.25">
      <c r="G1037" s="23">
        <v>42405</v>
      </c>
      <c r="H1037" s="22">
        <v>631.04070000000002</v>
      </c>
      <c r="I1037">
        <f t="shared" si="32"/>
        <v>2.2643996728159976E-3</v>
      </c>
      <c r="J1037" s="23">
        <v>42405</v>
      </c>
      <c r="K1037" s="22">
        <v>1079.5139999999999</v>
      </c>
      <c r="L1037">
        <f t="shared" si="32"/>
        <v>3.5241414378979208E-3</v>
      </c>
      <c r="M1037" s="23">
        <v>42374</v>
      </c>
      <c r="N1037" s="22">
        <v>1193.3800000000001</v>
      </c>
      <c r="O1037">
        <f t="shared" si="33"/>
        <v>-1.6463824760654111E-3</v>
      </c>
    </row>
    <row r="1038" spans="7:15" x14ac:dyDescent="0.25">
      <c r="G1038" s="23">
        <v>42408</v>
      </c>
      <c r="H1038" s="22">
        <v>642.76660000000004</v>
      </c>
      <c r="I1038">
        <f t="shared" si="32"/>
        <v>1.8581844245545431E-2</v>
      </c>
      <c r="J1038" s="23">
        <v>42408</v>
      </c>
      <c r="K1038" s="22">
        <v>1085.491</v>
      </c>
      <c r="L1038">
        <f t="shared" si="32"/>
        <v>5.5367507971180174E-3</v>
      </c>
      <c r="M1038" s="23">
        <v>42375</v>
      </c>
      <c r="N1038" s="22">
        <v>1189.7940000000001</v>
      </c>
      <c r="O1038">
        <f t="shared" si="33"/>
        <v>-3.0049104224975087E-3</v>
      </c>
    </row>
    <row r="1039" spans="7:15" x14ac:dyDescent="0.25">
      <c r="G1039" s="23">
        <v>42409</v>
      </c>
      <c r="H1039" s="22">
        <v>642.69740000000002</v>
      </c>
      <c r="I1039">
        <f t="shared" si="32"/>
        <v>-1.0765960770209304E-4</v>
      </c>
      <c r="J1039" s="23">
        <v>42409</v>
      </c>
      <c r="K1039" s="22">
        <v>1086.7719999999999</v>
      </c>
      <c r="L1039">
        <f t="shared" si="32"/>
        <v>1.1801111202212056E-3</v>
      </c>
      <c r="M1039" s="23">
        <v>42376</v>
      </c>
      <c r="N1039" s="22">
        <v>1190.787</v>
      </c>
      <c r="O1039">
        <f t="shared" si="33"/>
        <v>8.3459825818588129E-4</v>
      </c>
    </row>
    <row r="1040" spans="7:15" x14ac:dyDescent="0.25">
      <c r="G1040" s="23">
        <v>42410</v>
      </c>
      <c r="H1040" s="22">
        <v>642.67370000000005</v>
      </c>
      <c r="I1040">
        <f t="shared" si="32"/>
        <v>-3.6875829900639978E-5</v>
      </c>
      <c r="J1040" s="23">
        <v>42410</v>
      </c>
      <c r="K1040" s="22">
        <v>1086.519</v>
      </c>
      <c r="L1040">
        <f t="shared" si="32"/>
        <v>-2.3279952004651161E-4</v>
      </c>
      <c r="M1040" s="23">
        <v>42377</v>
      </c>
      <c r="N1040" s="22">
        <v>1190.6410000000001</v>
      </c>
      <c r="O1040">
        <f t="shared" si="33"/>
        <v>-1.2260798950602947E-4</v>
      </c>
    </row>
    <row r="1041" spans="7:15" x14ac:dyDescent="0.25">
      <c r="G1041" s="23">
        <v>42411</v>
      </c>
      <c r="H1041" s="22">
        <v>648.34360000000004</v>
      </c>
      <c r="I1041">
        <f t="shared" si="32"/>
        <v>8.8223619544411935E-3</v>
      </c>
      <c r="J1041" s="23">
        <v>42411</v>
      </c>
      <c r="K1041" s="22">
        <v>1097.0920000000001</v>
      </c>
      <c r="L1041">
        <f t="shared" si="32"/>
        <v>9.7310769530951635E-3</v>
      </c>
      <c r="M1041" s="23">
        <v>42380</v>
      </c>
      <c r="N1041" s="22">
        <v>1191.085</v>
      </c>
      <c r="O1041">
        <f t="shared" si="33"/>
        <v>3.7290837456449566E-4</v>
      </c>
    </row>
    <row r="1042" spans="7:15" x14ac:dyDescent="0.25">
      <c r="G1042" s="23">
        <v>42412</v>
      </c>
      <c r="H1042" s="22">
        <v>648.37530000000004</v>
      </c>
      <c r="I1042">
        <f t="shared" si="32"/>
        <v>4.8893827285345637E-5</v>
      </c>
      <c r="J1042" s="23">
        <v>42412</v>
      </c>
      <c r="K1042" s="22">
        <v>1096.943</v>
      </c>
      <c r="L1042">
        <f t="shared" si="32"/>
        <v>-1.3581358719239045E-4</v>
      </c>
      <c r="M1042" s="23">
        <v>42381</v>
      </c>
      <c r="N1042" s="22">
        <v>1191.4829999999999</v>
      </c>
      <c r="O1042">
        <f t="shared" si="33"/>
        <v>3.3414911614193521E-4</v>
      </c>
    </row>
    <row r="1043" spans="7:15" x14ac:dyDescent="0.25">
      <c r="G1043" s="23">
        <v>42415</v>
      </c>
      <c r="H1043" s="22">
        <v>648.37530000000004</v>
      </c>
      <c r="I1043">
        <f t="shared" si="32"/>
        <v>0</v>
      </c>
      <c r="J1043" s="23">
        <v>42415</v>
      </c>
      <c r="K1043" s="22">
        <v>1096.943</v>
      </c>
      <c r="L1043">
        <f t="shared" si="32"/>
        <v>0</v>
      </c>
      <c r="M1043" s="23">
        <v>42382</v>
      </c>
      <c r="N1043" s="22">
        <v>1193.329</v>
      </c>
      <c r="O1043">
        <f t="shared" si="33"/>
        <v>1.5493297008852824E-3</v>
      </c>
    </row>
    <row r="1044" spans="7:15" x14ac:dyDescent="0.25">
      <c r="G1044" s="23">
        <v>42416</v>
      </c>
      <c r="H1044" s="22">
        <v>648.53110000000004</v>
      </c>
      <c r="I1044">
        <f t="shared" si="32"/>
        <v>2.4029292911076361E-4</v>
      </c>
      <c r="J1044" s="23">
        <v>42416</v>
      </c>
      <c r="K1044" s="22">
        <v>1097.8150000000001</v>
      </c>
      <c r="L1044">
        <f t="shared" si="32"/>
        <v>7.9493647345407759E-4</v>
      </c>
      <c r="M1044" s="23">
        <v>42383</v>
      </c>
      <c r="N1044" s="22">
        <v>1212.8699999999999</v>
      </c>
      <c r="O1044">
        <f t="shared" si="33"/>
        <v>1.6375199127818041E-2</v>
      </c>
    </row>
    <row r="1045" spans="7:15" x14ac:dyDescent="0.25">
      <c r="G1045" s="23">
        <v>42417</v>
      </c>
      <c r="H1045" s="22">
        <v>648.73109999999997</v>
      </c>
      <c r="I1045">
        <f t="shared" si="32"/>
        <v>3.0838921988474155E-4</v>
      </c>
      <c r="J1045" s="23">
        <v>42417</v>
      </c>
      <c r="K1045" s="22">
        <v>1098.1659999999999</v>
      </c>
      <c r="L1045">
        <f t="shared" si="32"/>
        <v>3.1972600119312133E-4</v>
      </c>
      <c r="M1045" s="23">
        <v>42384</v>
      </c>
      <c r="N1045" s="22">
        <v>1318.1189999999999</v>
      </c>
      <c r="O1045">
        <f t="shared" si="33"/>
        <v>8.6776818620297291E-2</v>
      </c>
    </row>
    <row r="1046" spans="7:15" x14ac:dyDescent="0.25">
      <c r="G1046" s="23">
        <v>42418</v>
      </c>
      <c r="H1046" s="22">
        <v>648.85709999999995</v>
      </c>
      <c r="I1046">
        <f t="shared" si="32"/>
        <v>1.9422531153501232E-4</v>
      </c>
      <c r="J1046" s="23">
        <v>42418</v>
      </c>
      <c r="K1046" s="22">
        <v>1099.4639999999999</v>
      </c>
      <c r="L1046">
        <f t="shared" si="32"/>
        <v>1.1819706674582875E-3</v>
      </c>
      <c r="M1046" s="23">
        <v>42387</v>
      </c>
      <c r="N1046" s="22">
        <v>1318.1189999999999</v>
      </c>
      <c r="O1046">
        <f t="shared" si="33"/>
        <v>0</v>
      </c>
    </row>
    <row r="1047" spans="7:15" x14ac:dyDescent="0.25">
      <c r="G1047" s="23">
        <v>42419</v>
      </c>
      <c r="H1047" s="22">
        <v>648.94000000000005</v>
      </c>
      <c r="I1047">
        <f t="shared" si="32"/>
        <v>1.2776310839490712E-4</v>
      </c>
      <c r="J1047" s="23">
        <v>42419</v>
      </c>
      <c r="K1047" s="22">
        <v>1100.8489999999999</v>
      </c>
      <c r="L1047">
        <f t="shared" si="32"/>
        <v>1.2597047288496199E-3</v>
      </c>
      <c r="M1047" s="23">
        <v>42388</v>
      </c>
      <c r="N1047" s="22">
        <v>1317.8579999999999</v>
      </c>
      <c r="O1047">
        <f t="shared" si="33"/>
        <v>-1.9800943617376277E-4</v>
      </c>
    </row>
    <row r="1048" spans="7:15" x14ac:dyDescent="0.25">
      <c r="G1048" s="23">
        <v>42422</v>
      </c>
      <c r="H1048" s="22">
        <v>648.94309999999996</v>
      </c>
      <c r="I1048">
        <f t="shared" si="32"/>
        <v>4.7770209878894576E-6</v>
      </c>
      <c r="J1048" s="23">
        <v>42422</v>
      </c>
      <c r="K1048" s="22">
        <v>1101.7429999999999</v>
      </c>
      <c r="L1048">
        <f t="shared" si="32"/>
        <v>8.1210047881219438E-4</v>
      </c>
      <c r="M1048" s="23">
        <v>42389</v>
      </c>
      <c r="N1048" s="22">
        <v>1393.12</v>
      </c>
      <c r="O1048">
        <f t="shared" si="33"/>
        <v>5.7109339549481053E-2</v>
      </c>
    </row>
    <row r="1049" spans="7:15" x14ac:dyDescent="0.25">
      <c r="G1049" s="23">
        <v>42423</v>
      </c>
      <c r="H1049" s="22">
        <v>649.1336</v>
      </c>
      <c r="I1049">
        <f t="shared" si="32"/>
        <v>2.935542422748405E-4</v>
      </c>
      <c r="J1049" s="23">
        <v>42423</v>
      </c>
      <c r="K1049" s="22">
        <v>1102.74</v>
      </c>
      <c r="L1049">
        <f t="shared" si="32"/>
        <v>9.0492973406686161E-4</v>
      </c>
      <c r="M1049" s="23">
        <v>42390</v>
      </c>
      <c r="N1049" s="22">
        <v>1393.5029999999999</v>
      </c>
      <c r="O1049">
        <f t="shared" si="33"/>
        <v>2.7492247616867083E-4</v>
      </c>
    </row>
    <row r="1050" spans="7:15" x14ac:dyDescent="0.25">
      <c r="G1050" s="23">
        <v>42424</v>
      </c>
      <c r="H1050" s="22">
        <v>649.09389999999996</v>
      </c>
      <c r="I1050">
        <f t="shared" si="32"/>
        <v>-6.1158442576481065E-5</v>
      </c>
      <c r="J1050" s="23">
        <v>42424</v>
      </c>
      <c r="K1050" s="22">
        <v>1194.3699999999999</v>
      </c>
      <c r="L1050">
        <f t="shared" si="32"/>
        <v>8.3093022834031416E-2</v>
      </c>
      <c r="M1050" s="23">
        <v>42391</v>
      </c>
      <c r="N1050" s="22">
        <v>1394.088</v>
      </c>
      <c r="O1050">
        <f t="shared" si="33"/>
        <v>4.198053394934842E-4</v>
      </c>
    </row>
    <row r="1051" spans="7:15" x14ac:dyDescent="0.25">
      <c r="G1051" s="23">
        <v>42425</v>
      </c>
      <c r="H1051" s="22">
        <v>711.06970000000001</v>
      </c>
      <c r="I1051">
        <f t="shared" si="32"/>
        <v>9.5480484410653155E-2</v>
      </c>
      <c r="J1051" s="23">
        <v>42425</v>
      </c>
      <c r="K1051" s="22">
        <v>1196.076</v>
      </c>
      <c r="L1051">
        <f t="shared" si="32"/>
        <v>1.4283680936393317E-3</v>
      </c>
      <c r="M1051" s="23">
        <v>42394</v>
      </c>
      <c r="N1051" s="22">
        <v>1394.61</v>
      </c>
      <c r="O1051">
        <f t="shared" si="33"/>
        <v>3.7443834248618302E-4</v>
      </c>
    </row>
    <row r="1052" spans="7:15" x14ac:dyDescent="0.25">
      <c r="G1052" s="23">
        <v>42426</v>
      </c>
      <c r="H1052" s="22">
        <v>711.04549999999995</v>
      </c>
      <c r="I1052">
        <f t="shared" si="32"/>
        <v>-3.4033231904095906E-5</v>
      </c>
      <c r="J1052" s="23">
        <v>42426</v>
      </c>
      <c r="K1052" s="22">
        <v>1196.943</v>
      </c>
      <c r="L1052">
        <f t="shared" si="32"/>
        <v>7.248703259659095E-4</v>
      </c>
      <c r="M1052" s="23">
        <v>42395</v>
      </c>
      <c r="N1052" s="22">
        <v>1394.4480000000001</v>
      </c>
      <c r="O1052">
        <f t="shared" si="33"/>
        <v>-1.1616150751814214E-4</v>
      </c>
    </row>
    <row r="1053" spans="7:15" x14ac:dyDescent="0.25">
      <c r="G1053" s="23">
        <v>42429</v>
      </c>
      <c r="H1053" s="22">
        <v>709.59889999999996</v>
      </c>
      <c r="I1053">
        <f t="shared" si="32"/>
        <v>-2.0344689615502398E-3</v>
      </c>
      <c r="J1053" s="23">
        <v>42429</v>
      </c>
      <c r="K1053" s="22">
        <v>1196.2919999999999</v>
      </c>
      <c r="L1053">
        <f t="shared" si="32"/>
        <v>-5.4388554843465275E-4</v>
      </c>
      <c r="M1053" s="23">
        <v>42396</v>
      </c>
      <c r="N1053" s="22">
        <v>1428.934</v>
      </c>
      <c r="O1053">
        <f t="shared" si="33"/>
        <v>2.4730932956983587E-2</v>
      </c>
    </row>
    <row r="1054" spans="7:15" x14ac:dyDescent="0.25">
      <c r="G1054" s="23">
        <v>42430</v>
      </c>
      <c r="H1054" s="22">
        <v>709.49090000000001</v>
      </c>
      <c r="I1054">
        <f t="shared" si="32"/>
        <v>-1.5219865757953865E-4</v>
      </c>
      <c r="J1054" s="23">
        <v>42430</v>
      </c>
      <c r="K1054" s="22">
        <v>1196.366</v>
      </c>
      <c r="L1054">
        <f t="shared" si="32"/>
        <v>6.185780729128787E-5</v>
      </c>
      <c r="M1054" s="23">
        <v>42397</v>
      </c>
      <c r="N1054" s="22">
        <v>1428.9659999999999</v>
      </c>
      <c r="O1054">
        <f t="shared" si="33"/>
        <v>2.239431632244937E-5</v>
      </c>
    </row>
    <row r="1055" spans="7:15" x14ac:dyDescent="0.25">
      <c r="G1055" s="23">
        <v>42431</v>
      </c>
      <c r="H1055" s="22">
        <v>708.47879999999998</v>
      </c>
      <c r="I1055">
        <f t="shared" si="32"/>
        <v>-1.426515829871855E-3</v>
      </c>
      <c r="J1055" s="23">
        <v>42431</v>
      </c>
      <c r="K1055" s="22">
        <v>1196.7190000000001</v>
      </c>
      <c r="L1055">
        <f t="shared" si="32"/>
        <v>2.9506020732794624E-4</v>
      </c>
      <c r="M1055" s="23">
        <v>42398</v>
      </c>
      <c r="N1055" s="22">
        <v>1425.05</v>
      </c>
      <c r="O1055">
        <f t="shared" si="33"/>
        <v>-2.7404430896186271E-3</v>
      </c>
    </row>
    <row r="1056" spans="7:15" x14ac:dyDescent="0.25">
      <c r="G1056" s="23">
        <v>42432</v>
      </c>
      <c r="H1056" s="22">
        <v>708.18560000000002</v>
      </c>
      <c r="I1056">
        <f t="shared" si="32"/>
        <v>-4.13844422726517E-4</v>
      </c>
      <c r="J1056" s="23">
        <v>42432</v>
      </c>
      <c r="K1056" s="22">
        <v>1196.759</v>
      </c>
      <c r="L1056">
        <f t="shared" si="32"/>
        <v>3.3424722094332893E-5</v>
      </c>
      <c r="M1056" s="23">
        <v>42401</v>
      </c>
      <c r="N1056" s="22">
        <v>1425.5309999999999</v>
      </c>
      <c r="O1056">
        <f t="shared" si="33"/>
        <v>3.3753201642050534E-4</v>
      </c>
    </row>
    <row r="1057" spans="7:15" x14ac:dyDescent="0.25">
      <c r="G1057" s="23">
        <v>42433</v>
      </c>
      <c r="H1057" s="22">
        <v>708.25580000000002</v>
      </c>
      <c r="I1057">
        <f t="shared" si="32"/>
        <v>9.9126556654116627E-5</v>
      </c>
      <c r="J1057" s="23">
        <v>42433</v>
      </c>
      <c r="K1057" s="22">
        <v>1196.9459999999999</v>
      </c>
      <c r="L1057">
        <f t="shared" si="32"/>
        <v>1.5625535299923499E-4</v>
      </c>
      <c r="M1057" s="23">
        <v>42402</v>
      </c>
      <c r="N1057" s="22">
        <v>1422.5329999999999</v>
      </c>
      <c r="O1057">
        <f t="shared" si="33"/>
        <v>-2.1030759766010876E-3</v>
      </c>
    </row>
    <row r="1058" spans="7:15" x14ac:dyDescent="0.25">
      <c r="G1058" s="23">
        <v>42436</v>
      </c>
      <c r="H1058" s="22">
        <v>708.14760000000001</v>
      </c>
      <c r="I1058">
        <f t="shared" si="32"/>
        <v>-1.5276966316413176E-4</v>
      </c>
      <c r="J1058" s="23">
        <v>42436</v>
      </c>
      <c r="K1058" s="22">
        <v>1196.914</v>
      </c>
      <c r="L1058">
        <f t="shared" si="32"/>
        <v>-2.6734706494613292E-5</v>
      </c>
      <c r="M1058" s="23">
        <v>42403</v>
      </c>
      <c r="N1058" s="22">
        <v>1425.78</v>
      </c>
      <c r="O1058">
        <f t="shared" si="33"/>
        <v>2.2825481025747774E-3</v>
      </c>
    </row>
    <row r="1059" spans="7:15" x14ac:dyDescent="0.25">
      <c r="G1059" s="23">
        <v>42437</v>
      </c>
      <c r="H1059" s="22">
        <v>707.92089999999996</v>
      </c>
      <c r="I1059">
        <f t="shared" si="32"/>
        <v>-3.2013100093830626E-4</v>
      </c>
      <c r="J1059" s="23">
        <v>42437</v>
      </c>
      <c r="K1059" s="22">
        <v>1196.8579999999999</v>
      </c>
      <c r="L1059">
        <f t="shared" si="32"/>
        <v>-4.6786987202174224E-5</v>
      </c>
      <c r="M1059" s="23">
        <v>42404</v>
      </c>
      <c r="N1059" s="22">
        <v>1466.951</v>
      </c>
      <c r="O1059">
        <f t="shared" si="33"/>
        <v>2.887612394619099E-2</v>
      </c>
    </row>
    <row r="1060" spans="7:15" x14ac:dyDescent="0.25">
      <c r="G1060" s="23">
        <v>42438</v>
      </c>
      <c r="H1060" s="22">
        <v>689.19529999999997</v>
      </c>
      <c r="I1060">
        <f t="shared" si="32"/>
        <v>-2.6451542820673857E-2</v>
      </c>
      <c r="J1060" s="23">
        <v>42438</v>
      </c>
      <c r="K1060" s="22">
        <v>1151.8789999999999</v>
      </c>
      <c r="L1060">
        <f t="shared" si="32"/>
        <v>-3.758089932138986E-2</v>
      </c>
      <c r="M1060" s="23">
        <v>42405</v>
      </c>
      <c r="N1060" s="22">
        <v>1475.4839999999999</v>
      </c>
      <c r="O1060">
        <f t="shared" si="33"/>
        <v>5.8168268742444518E-3</v>
      </c>
    </row>
    <row r="1061" spans="7:15" x14ac:dyDescent="0.25">
      <c r="G1061" s="23">
        <v>42439</v>
      </c>
      <c r="H1061" s="22">
        <v>688.56039999999996</v>
      </c>
      <c r="I1061">
        <f t="shared" si="32"/>
        <v>-9.2121928283606103E-4</v>
      </c>
      <c r="J1061" s="23">
        <v>42439</v>
      </c>
      <c r="K1061" s="22">
        <v>1148.2249999999999</v>
      </c>
      <c r="L1061">
        <f t="shared" si="32"/>
        <v>-3.1722081920062539E-3</v>
      </c>
      <c r="M1061" s="23">
        <v>42408</v>
      </c>
      <c r="N1061" s="22">
        <v>1513.2760000000001</v>
      </c>
      <c r="O1061">
        <f t="shared" si="33"/>
        <v>2.5613290283053036E-2</v>
      </c>
    </row>
    <row r="1062" spans="7:15" x14ac:dyDescent="0.25">
      <c r="G1062" s="23">
        <v>42440</v>
      </c>
      <c r="H1062" s="22">
        <v>688.27239999999995</v>
      </c>
      <c r="I1062">
        <f t="shared" si="32"/>
        <v>-4.1826396057631499E-4</v>
      </c>
      <c r="J1062" s="23">
        <v>42440</v>
      </c>
      <c r="K1062" s="22">
        <v>1147.876</v>
      </c>
      <c r="L1062">
        <f t="shared" si="32"/>
        <v>-3.0394739706929297E-4</v>
      </c>
      <c r="M1062" s="23">
        <v>42409</v>
      </c>
      <c r="N1062" s="22">
        <v>1517.08</v>
      </c>
      <c r="O1062">
        <f t="shared" si="33"/>
        <v>2.513751622308158E-3</v>
      </c>
    </row>
    <row r="1063" spans="7:15" x14ac:dyDescent="0.25">
      <c r="G1063" s="23">
        <v>42443</v>
      </c>
      <c r="H1063" s="22">
        <v>671.86220000000003</v>
      </c>
      <c r="I1063">
        <f t="shared" si="32"/>
        <v>-2.3842594879585399E-2</v>
      </c>
      <c r="J1063" s="23">
        <v>42443</v>
      </c>
      <c r="K1063" s="22">
        <v>1148.3309999999999</v>
      </c>
      <c r="L1063">
        <f t="shared" si="32"/>
        <v>3.9638427844113089E-4</v>
      </c>
      <c r="M1063" s="23">
        <v>42410</v>
      </c>
      <c r="N1063" s="22">
        <v>1517.088</v>
      </c>
      <c r="O1063">
        <f t="shared" si="33"/>
        <v>5.2732881588024583E-6</v>
      </c>
    </row>
    <row r="1064" spans="7:15" x14ac:dyDescent="0.25">
      <c r="G1064" s="23">
        <v>42444</v>
      </c>
      <c r="H1064" s="22">
        <v>671.71889999999996</v>
      </c>
      <c r="I1064">
        <f t="shared" si="32"/>
        <v>-2.132877843106229E-4</v>
      </c>
      <c r="J1064" s="23">
        <v>42444</v>
      </c>
      <c r="K1064" s="22">
        <v>1147.712</v>
      </c>
      <c r="L1064">
        <f t="shared" si="32"/>
        <v>-5.3904318528363859E-4</v>
      </c>
      <c r="M1064" s="23">
        <v>42411</v>
      </c>
      <c r="N1064" s="22">
        <v>1521.422</v>
      </c>
      <c r="O1064">
        <f t="shared" si="33"/>
        <v>2.8567887953765414E-3</v>
      </c>
    </row>
    <row r="1065" spans="7:15" x14ac:dyDescent="0.25">
      <c r="G1065" s="23">
        <v>42445</v>
      </c>
      <c r="H1065" s="22">
        <v>671.54769999999996</v>
      </c>
      <c r="I1065">
        <f t="shared" si="32"/>
        <v>-2.5486851717293479E-4</v>
      </c>
      <c r="J1065" s="23">
        <v>42445</v>
      </c>
      <c r="K1065" s="22">
        <v>1112.7170000000001</v>
      </c>
      <c r="L1065">
        <f t="shared" si="32"/>
        <v>-3.0491098812245432E-2</v>
      </c>
      <c r="M1065" s="23">
        <v>42412</v>
      </c>
      <c r="N1065" s="22">
        <v>1522.4929999999999</v>
      </c>
      <c r="O1065">
        <f t="shared" si="33"/>
        <v>7.0394670249274149E-4</v>
      </c>
    </row>
    <row r="1066" spans="7:15" x14ac:dyDescent="0.25">
      <c r="G1066" s="23">
        <v>42446</v>
      </c>
      <c r="H1066" s="22">
        <v>671.42060000000004</v>
      </c>
      <c r="I1066">
        <f t="shared" si="32"/>
        <v>-1.8926429202259509E-4</v>
      </c>
      <c r="J1066" s="23">
        <v>42446</v>
      </c>
      <c r="K1066" s="22">
        <v>1109.9929999999999</v>
      </c>
      <c r="L1066">
        <f t="shared" si="32"/>
        <v>-2.4480618162571188E-3</v>
      </c>
      <c r="M1066" s="23">
        <v>42415</v>
      </c>
      <c r="N1066" s="22">
        <v>1522.4929999999999</v>
      </c>
      <c r="O1066">
        <f t="shared" si="33"/>
        <v>0</v>
      </c>
    </row>
    <row r="1067" spans="7:15" x14ac:dyDescent="0.25">
      <c r="G1067" s="23">
        <v>42447</v>
      </c>
      <c r="H1067" s="22">
        <v>671.21410000000003</v>
      </c>
      <c r="I1067">
        <f t="shared" si="32"/>
        <v>-3.0755684290895147E-4</v>
      </c>
      <c r="J1067" s="23">
        <v>42447</v>
      </c>
      <c r="K1067" s="22">
        <v>1046.7729999999999</v>
      </c>
      <c r="L1067">
        <f t="shared" si="32"/>
        <v>-5.6955314132611679E-2</v>
      </c>
      <c r="M1067" s="23">
        <v>42416</v>
      </c>
      <c r="N1067" s="22">
        <v>1523.982</v>
      </c>
      <c r="O1067">
        <f t="shared" si="33"/>
        <v>9.7800121248514671E-4</v>
      </c>
    </row>
    <row r="1068" spans="7:15" x14ac:dyDescent="0.25">
      <c r="G1068" s="23">
        <v>42450</v>
      </c>
      <c r="H1068" s="22">
        <v>670.92430000000002</v>
      </c>
      <c r="I1068">
        <f t="shared" si="32"/>
        <v>-4.3175493482627836E-4</v>
      </c>
      <c r="J1068" s="23">
        <v>42450</v>
      </c>
      <c r="K1068" s="22">
        <v>1045.721</v>
      </c>
      <c r="L1068">
        <f t="shared" si="32"/>
        <v>-1.0049934417489803E-3</v>
      </c>
      <c r="M1068" s="23">
        <v>42417</v>
      </c>
      <c r="N1068" s="22">
        <v>1524.0550000000001</v>
      </c>
      <c r="O1068">
        <f t="shared" si="33"/>
        <v>4.790082822503372E-5</v>
      </c>
    </row>
    <row r="1069" spans="7:15" x14ac:dyDescent="0.25">
      <c r="G1069" s="23">
        <v>42451</v>
      </c>
      <c r="H1069" s="22">
        <v>670.57849999999996</v>
      </c>
      <c r="I1069">
        <f t="shared" si="32"/>
        <v>-5.1540837021413211E-4</v>
      </c>
      <c r="J1069" s="23">
        <v>42451</v>
      </c>
      <c r="K1069" s="22">
        <v>1045.511</v>
      </c>
      <c r="L1069">
        <f t="shared" si="32"/>
        <v>-2.0081838272356656E-4</v>
      </c>
      <c r="M1069" s="23">
        <v>42418</v>
      </c>
      <c r="N1069" s="22">
        <v>1525.2929999999999</v>
      </c>
      <c r="O1069">
        <f t="shared" si="33"/>
        <v>8.1230664247677886E-4</v>
      </c>
    </row>
    <row r="1070" spans="7:15" x14ac:dyDescent="0.25">
      <c r="G1070" s="23">
        <v>42452</v>
      </c>
      <c r="H1070" s="22">
        <v>669.67949999999996</v>
      </c>
      <c r="I1070">
        <f t="shared" si="32"/>
        <v>-1.3406334977933421E-3</v>
      </c>
      <c r="J1070" s="23">
        <v>42452</v>
      </c>
      <c r="K1070" s="22">
        <v>1043.3019999999999</v>
      </c>
      <c r="L1070">
        <f t="shared" si="32"/>
        <v>-2.1128424282480518E-3</v>
      </c>
      <c r="M1070" s="23">
        <v>42419</v>
      </c>
      <c r="N1070" s="22">
        <v>1525.558</v>
      </c>
      <c r="O1070">
        <f t="shared" si="33"/>
        <v>1.7373711149271109E-4</v>
      </c>
    </row>
    <row r="1071" spans="7:15" x14ac:dyDescent="0.25">
      <c r="G1071" s="23">
        <v>42453</v>
      </c>
      <c r="H1071" s="22">
        <v>669.14469999999994</v>
      </c>
      <c r="I1071">
        <f t="shared" si="32"/>
        <v>-7.9859096776890848E-4</v>
      </c>
      <c r="J1071" s="23">
        <v>42453</v>
      </c>
      <c r="K1071" s="22">
        <v>1016.754</v>
      </c>
      <c r="L1071">
        <f t="shared" si="32"/>
        <v>-2.5446131609064171E-2</v>
      </c>
      <c r="M1071" s="23">
        <v>42422</v>
      </c>
      <c r="N1071" s="22">
        <v>1525.8789999999999</v>
      </c>
      <c r="O1071">
        <f t="shared" si="33"/>
        <v>2.1041481215400282E-4</v>
      </c>
    </row>
    <row r="1072" spans="7:15" x14ac:dyDescent="0.25">
      <c r="G1072" s="23">
        <v>42454</v>
      </c>
      <c r="H1072" s="22">
        <v>669.14469999999994</v>
      </c>
      <c r="I1072">
        <f t="shared" si="32"/>
        <v>0</v>
      </c>
      <c r="J1072" s="23">
        <v>42454</v>
      </c>
      <c r="K1072" s="22">
        <v>1016.754</v>
      </c>
      <c r="L1072">
        <f t="shared" si="32"/>
        <v>0</v>
      </c>
      <c r="M1072" s="23">
        <v>42423</v>
      </c>
      <c r="N1072" s="22">
        <v>1526.12</v>
      </c>
      <c r="O1072">
        <f t="shared" si="33"/>
        <v>1.5794175029615332E-4</v>
      </c>
    </row>
    <row r="1073" spans="7:15" x14ac:dyDescent="0.25">
      <c r="G1073" s="23">
        <v>42457</v>
      </c>
      <c r="H1073" s="22">
        <v>636.85350000000005</v>
      </c>
      <c r="I1073">
        <f t="shared" si="32"/>
        <v>-4.8257424739372334E-2</v>
      </c>
      <c r="J1073" s="23">
        <v>42457</v>
      </c>
      <c r="K1073" s="22">
        <v>1015.943</v>
      </c>
      <c r="L1073">
        <f t="shared" si="32"/>
        <v>-7.9763639975849454E-4</v>
      </c>
      <c r="M1073" s="23">
        <v>42424</v>
      </c>
      <c r="N1073" s="22">
        <v>1652.4929999999999</v>
      </c>
      <c r="O1073">
        <f t="shared" si="33"/>
        <v>8.2806725552381222E-2</v>
      </c>
    </row>
    <row r="1074" spans="7:15" x14ac:dyDescent="0.25">
      <c r="G1074" s="23">
        <v>42458</v>
      </c>
      <c r="H1074" s="22">
        <v>636.43420000000003</v>
      </c>
      <c r="I1074">
        <f t="shared" si="32"/>
        <v>-6.5839317833693567E-4</v>
      </c>
      <c r="J1074" s="23">
        <v>42458</v>
      </c>
      <c r="K1074" s="22">
        <v>1015.02</v>
      </c>
      <c r="L1074">
        <f t="shared" si="32"/>
        <v>-9.0851553679682784E-4</v>
      </c>
      <c r="M1074" s="23">
        <v>42425</v>
      </c>
      <c r="N1074" s="22">
        <v>1652.2070000000001</v>
      </c>
      <c r="O1074">
        <f t="shared" si="33"/>
        <v>-1.7307183752057753E-4</v>
      </c>
    </row>
    <row r="1075" spans="7:15" x14ac:dyDescent="0.25">
      <c r="G1075" s="23">
        <v>42459</v>
      </c>
      <c r="H1075" s="22">
        <v>636.47320000000002</v>
      </c>
      <c r="I1075">
        <f t="shared" si="32"/>
        <v>6.127891932905527E-5</v>
      </c>
      <c r="J1075" s="23">
        <v>42459</v>
      </c>
      <c r="K1075" s="22">
        <v>1012.086</v>
      </c>
      <c r="L1075">
        <f t="shared" si="32"/>
        <v>-2.8905834367795036E-3</v>
      </c>
      <c r="M1075" s="23">
        <v>42426</v>
      </c>
      <c r="N1075" s="22">
        <v>1652.5440000000001</v>
      </c>
      <c r="O1075">
        <f t="shared" si="33"/>
        <v>2.0396959945090387E-4</v>
      </c>
    </row>
    <row r="1076" spans="7:15" x14ac:dyDescent="0.25">
      <c r="G1076" s="23">
        <v>42460</v>
      </c>
      <c r="H1076" s="22">
        <v>635.22119999999995</v>
      </c>
      <c r="I1076">
        <f t="shared" si="32"/>
        <v>-1.9670898947513615E-3</v>
      </c>
      <c r="J1076" s="23">
        <v>42460</v>
      </c>
      <c r="K1076" s="22">
        <v>985.47029999999995</v>
      </c>
      <c r="L1076">
        <f t="shared" si="32"/>
        <v>-2.6297864015508599E-2</v>
      </c>
      <c r="M1076" s="23">
        <v>42429</v>
      </c>
      <c r="N1076" s="22">
        <v>1645.5840000000001</v>
      </c>
      <c r="O1076">
        <f t="shared" si="33"/>
        <v>-4.2116881607994205E-3</v>
      </c>
    </row>
    <row r="1077" spans="7:15" x14ac:dyDescent="0.25">
      <c r="G1077" s="23">
        <v>42461</v>
      </c>
      <c r="H1077" s="22">
        <v>635.06169999999997</v>
      </c>
      <c r="I1077">
        <f t="shared" si="32"/>
        <v>-2.510936347841497E-4</v>
      </c>
      <c r="J1077" s="23">
        <v>42461</v>
      </c>
      <c r="K1077" s="22">
        <v>985.26969999999994</v>
      </c>
      <c r="L1077">
        <f t="shared" si="32"/>
        <v>-2.0355763131574278E-4</v>
      </c>
      <c r="M1077" s="23">
        <v>42430</v>
      </c>
      <c r="N1077" s="22">
        <v>1646.6669999999999</v>
      </c>
      <c r="O1077">
        <f t="shared" si="33"/>
        <v>6.5812501823048208E-4</v>
      </c>
    </row>
    <row r="1078" spans="7:15" x14ac:dyDescent="0.25">
      <c r="G1078" s="23">
        <v>42464</v>
      </c>
      <c r="H1078" s="22">
        <v>633.16189999999995</v>
      </c>
      <c r="I1078">
        <f t="shared" si="32"/>
        <v>-2.991520351487198E-3</v>
      </c>
      <c r="J1078" s="23">
        <v>42464</v>
      </c>
      <c r="K1078" s="22">
        <v>985.00160000000005</v>
      </c>
      <c r="L1078">
        <f t="shared" si="32"/>
        <v>-2.72108235947921E-4</v>
      </c>
      <c r="M1078" s="23">
        <v>42431</v>
      </c>
      <c r="N1078" s="22">
        <v>1643.163</v>
      </c>
      <c r="O1078">
        <f t="shared" si="33"/>
        <v>-2.1279347919159752E-3</v>
      </c>
    </row>
    <row r="1079" spans="7:15" x14ac:dyDescent="0.25">
      <c r="G1079" s="23">
        <v>42465</v>
      </c>
      <c r="H1079" s="22">
        <v>630.96759999999995</v>
      </c>
      <c r="I1079">
        <f t="shared" si="32"/>
        <v>-3.4656222997625497E-3</v>
      </c>
      <c r="J1079" s="23">
        <v>42465</v>
      </c>
      <c r="K1079" s="22">
        <v>982.62480000000005</v>
      </c>
      <c r="L1079">
        <f t="shared" si="32"/>
        <v>-2.4129910042786085E-3</v>
      </c>
      <c r="M1079" s="23">
        <v>42432</v>
      </c>
      <c r="N1079" s="22">
        <v>1643.1469999999999</v>
      </c>
      <c r="O1079">
        <f t="shared" si="33"/>
        <v>-9.7373176003445749E-6</v>
      </c>
    </row>
    <row r="1080" spans="7:15" x14ac:dyDescent="0.25">
      <c r="G1080" s="23">
        <v>42466</v>
      </c>
      <c r="H1080" s="22">
        <v>582.48130000000003</v>
      </c>
      <c r="I1080">
        <f t="shared" si="32"/>
        <v>-7.6844357776849281E-2</v>
      </c>
      <c r="J1080" s="23">
        <v>42466</v>
      </c>
      <c r="K1080" s="22">
        <v>981.33219999999994</v>
      </c>
      <c r="L1080">
        <f t="shared" si="32"/>
        <v>-1.315456316592134E-3</v>
      </c>
      <c r="M1080" s="23">
        <v>42433</v>
      </c>
      <c r="N1080" s="22">
        <v>1642.701</v>
      </c>
      <c r="O1080">
        <f t="shared" si="33"/>
        <v>-2.7143037111099222E-4</v>
      </c>
    </row>
    <row r="1081" spans="7:15" x14ac:dyDescent="0.25">
      <c r="G1081" s="23">
        <v>42467</v>
      </c>
      <c r="H1081" s="22">
        <v>582.68399999999997</v>
      </c>
      <c r="I1081">
        <f t="shared" si="32"/>
        <v>3.4799400427099059E-4</v>
      </c>
      <c r="J1081" s="23">
        <v>42467</v>
      </c>
      <c r="K1081" s="22">
        <v>951.71479999999997</v>
      </c>
      <c r="L1081">
        <f t="shared" si="32"/>
        <v>-3.0180809312075896E-2</v>
      </c>
      <c r="M1081" s="23">
        <v>42436</v>
      </c>
      <c r="N1081" s="22">
        <v>1642.059</v>
      </c>
      <c r="O1081">
        <f t="shared" si="33"/>
        <v>-3.9081975356447529E-4</v>
      </c>
    </row>
    <row r="1082" spans="7:15" x14ac:dyDescent="0.25">
      <c r="G1082" s="23">
        <v>42468</v>
      </c>
      <c r="H1082" s="22">
        <v>582.80669999999998</v>
      </c>
      <c r="I1082">
        <f t="shared" si="32"/>
        <v>2.1057725971540542E-4</v>
      </c>
      <c r="J1082" s="23">
        <v>42468</v>
      </c>
      <c r="K1082" s="22">
        <v>951.11879999999996</v>
      </c>
      <c r="L1082">
        <f t="shared" si="32"/>
        <v>-6.2623802845140908E-4</v>
      </c>
      <c r="M1082" s="23">
        <v>42437</v>
      </c>
      <c r="N1082" s="22">
        <v>1642.549</v>
      </c>
      <c r="O1082">
        <f t="shared" si="33"/>
        <v>2.984058429083003E-4</v>
      </c>
    </row>
    <row r="1083" spans="7:15" x14ac:dyDescent="0.25">
      <c r="G1083" s="23">
        <v>42471</v>
      </c>
      <c r="H1083" s="22">
        <v>582.73339999999996</v>
      </c>
      <c r="I1083">
        <f t="shared" si="32"/>
        <v>-1.2577068863484087E-4</v>
      </c>
      <c r="J1083" s="23">
        <v>42471</v>
      </c>
      <c r="K1083" s="22">
        <v>950.68849999999998</v>
      </c>
      <c r="L1083">
        <f t="shared" si="32"/>
        <v>-4.524145669289048E-4</v>
      </c>
      <c r="M1083" s="23">
        <v>42438</v>
      </c>
      <c r="N1083" s="22">
        <v>1588.3309999999999</v>
      </c>
      <c r="O1083">
        <f t="shared" si="33"/>
        <v>-3.3008452107060493E-2</v>
      </c>
    </row>
    <row r="1084" spans="7:15" x14ac:dyDescent="0.25">
      <c r="G1084" s="23">
        <v>42472</v>
      </c>
      <c r="H1084" s="22">
        <v>582.62450000000001</v>
      </c>
      <c r="I1084">
        <f t="shared" si="32"/>
        <v>-1.8687791020721711E-4</v>
      </c>
      <c r="J1084" s="23">
        <v>42472</v>
      </c>
      <c r="K1084" s="22">
        <v>950.29079999999999</v>
      </c>
      <c r="L1084">
        <f t="shared" si="32"/>
        <v>-4.1832840094313539E-4</v>
      </c>
      <c r="M1084" s="23">
        <v>42439</v>
      </c>
      <c r="N1084" s="22">
        <v>1588.4359999999999</v>
      </c>
      <c r="O1084">
        <f t="shared" si="33"/>
        <v>6.6107127544512423E-5</v>
      </c>
    </row>
    <row r="1085" spans="7:15" x14ac:dyDescent="0.25">
      <c r="G1085" s="23">
        <v>42473</v>
      </c>
      <c r="H1085" s="22">
        <v>582.61339999999996</v>
      </c>
      <c r="I1085">
        <f t="shared" si="32"/>
        <v>-1.9051721992568993E-5</v>
      </c>
      <c r="J1085" s="23">
        <v>42473</v>
      </c>
      <c r="K1085" s="22">
        <v>948.93650000000002</v>
      </c>
      <c r="L1085">
        <f t="shared" si="32"/>
        <v>-1.4251427036859887E-3</v>
      </c>
      <c r="M1085" s="23">
        <v>42440</v>
      </c>
      <c r="N1085" s="22">
        <v>1588.095</v>
      </c>
      <c r="O1085">
        <f t="shared" si="33"/>
        <v>-2.1467657494533832E-4</v>
      </c>
    </row>
    <row r="1086" spans="7:15" x14ac:dyDescent="0.25">
      <c r="G1086" s="23">
        <v>42474</v>
      </c>
      <c r="H1086" s="22">
        <v>582.47490000000005</v>
      </c>
      <c r="I1086">
        <f t="shared" si="32"/>
        <v>-2.3772196108073906E-4</v>
      </c>
      <c r="J1086" s="23">
        <v>42474</v>
      </c>
      <c r="K1086" s="22">
        <v>948.18240000000003</v>
      </c>
      <c r="L1086">
        <f t="shared" si="32"/>
        <v>-7.9467909601960152E-4</v>
      </c>
      <c r="M1086" s="23">
        <v>42443</v>
      </c>
      <c r="N1086" s="22">
        <v>1594.521</v>
      </c>
      <c r="O1086">
        <f t="shared" si="33"/>
        <v>4.0463574282394443E-3</v>
      </c>
    </row>
    <row r="1087" spans="7:15" x14ac:dyDescent="0.25">
      <c r="G1087" s="23">
        <v>42475</v>
      </c>
      <c r="H1087" s="22">
        <v>582.38660000000004</v>
      </c>
      <c r="I1087">
        <f t="shared" si="32"/>
        <v>-1.5159451505974975E-4</v>
      </c>
      <c r="J1087" s="23">
        <v>42475</v>
      </c>
      <c r="K1087" s="22">
        <v>929.27459999999996</v>
      </c>
      <c r="L1087">
        <f t="shared" si="32"/>
        <v>-1.9941099940264717E-2</v>
      </c>
      <c r="M1087" s="23">
        <v>42444</v>
      </c>
      <c r="N1087" s="22">
        <v>1594.2360000000001</v>
      </c>
      <c r="O1087">
        <f t="shared" si="33"/>
        <v>-1.7873706272908407E-4</v>
      </c>
    </row>
    <row r="1088" spans="7:15" x14ac:dyDescent="0.25">
      <c r="G1088" s="23">
        <v>42478</v>
      </c>
      <c r="H1088" s="22">
        <v>582.21600000000001</v>
      </c>
      <c r="I1088">
        <f t="shared" si="32"/>
        <v>-2.9293256403917223E-4</v>
      </c>
      <c r="J1088" s="23">
        <v>42478</v>
      </c>
      <c r="K1088" s="22">
        <v>929.15390000000002</v>
      </c>
      <c r="L1088">
        <f t="shared" si="32"/>
        <v>-1.2988625751730876E-4</v>
      </c>
      <c r="M1088" s="23">
        <v>42445</v>
      </c>
      <c r="N1088" s="22">
        <v>1517.537</v>
      </c>
      <c r="O1088">
        <f t="shared" si="33"/>
        <v>-4.8110191966559523E-2</v>
      </c>
    </row>
    <row r="1089" spans="7:15" x14ac:dyDescent="0.25">
      <c r="G1089" s="23">
        <v>42479</v>
      </c>
      <c r="H1089" s="22">
        <v>582.08810000000005</v>
      </c>
      <c r="I1089">
        <f t="shared" si="32"/>
        <v>-2.1967792022192789E-4</v>
      </c>
      <c r="J1089" s="23">
        <v>42479</v>
      </c>
      <c r="K1089" s="22">
        <v>928.899</v>
      </c>
      <c r="L1089">
        <f t="shared" si="32"/>
        <v>-2.7433560791167988E-4</v>
      </c>
      <c r="M1089" s="23">
        <v>42446</v>
      </c>
      <c r="N1089" s="22">
        <v>1517.299</v>
      </c>
      <c r="O1089">
        <f t="shared" si="33"/>
        <v>-1.5683307886404929E-4</v>
      </c>
    </row>
    <row r="1090" spans="7:15" x14ac:dyDescent="0.25">
      <c r="G1090" s="23">
        <v>42480</v>
      </c>
      <c r="H1090" s="22">
        <v>582.08330000000001</v>
      </c>
      <c r="I1090">
        <f t="shared" si="32"/>
        <v>-8.2461744194128883E-6</v>
      </c>
      <c r="J1090" s="23">
        <v>42480</v>
      </c>
      <c r="K1090" s="22">
        <v>928.12329999999997</v>
      </c>
      <c r="L1090">
        <f t="shared" si="32"/>
        <v>-8.3507464213017357E-4</v>
      </c>
      <c r="M1090" s="23">
        <v>42447</v>
      </c>
      <c r="N1090" s="22">
        <v>1515.577</v>
      </c>
      <c r="O1090">
        <f t="shared" si="33"/>
        <v>-1.1349114446130848E-3</v>
      </c>
    </row>
    <row r="1091" spans="7:15" x14ac:dyDescent="0.25">
      <c r="G1091" s="23">
        <v>42481</v>
      </c>
      <c r="H1091" s="22">
        <v>582.03779999999995</v>
      </c>
      <c r="I1091">
        <f t="shared" si="32"/>
        <v>-7.8167506265991449E-5</v>
      </c>
      <c r="J1091" s="23">
        <v>42481</v>
      </c>
      <c r="K1091" s="22">
        <v>927.91740000000004</v>
      </c>
      <c r="L1091">
        <f t="shared" si="32"/>
        <v>-2.2184552418835768E-4</v>
      </c>
      <c r="M1091" s="23">
        <v>42450</v>
      </c>
      <c r="N1091" s="22">
        <v>1515.5229999999999</v>
      </c>
      <c r="O1091">
        <f t="shared" si="33"/>
        <v>-3.5629994385000252E-5</v>
      </c>
    </row>
    <row r="1092" spans="7:15" x14ac:dyDescent="0.25">
      <c r="G1092" s="23">
        <v>42482</v>
      </c>
      <c r="H1092" s="22">
        <v>581.87339999999995</v>
      </c>
      <c r="I1092">
        <f t="shared" ref="I1092:L1155" si="34">H1092/H1091-1</f>
        <v>-2.8245588173136937E-4</v>
      </c>
      <c r="J1092" s="23">
        <v>42482</v>
      </c>
      <c r="K1092" s="22">
        <v>927.98030000000006</v>
      </c>
      <c r="L1092">
        <f t="shared" si="34"/>
        <v>6.7786205970588043E-5</v>
      </c>
      <c r="M1092" s="23">
        <v>42451</v>
      </c>
      <c r="N1092" s="22">
        <v>1515.4770000000001</v>
      </c>
      <c r="O1092">
        <f t="shared" ref="O1092:O1155" si="35">N1092/N1091-1</f>
        <v>-3.0352558159640886E-5</v>
      </c>
    </row>
    <row r="1093" spans="7:15" x14ac:dyDescent="0.25">
      <c r="G1093" s="23">
        <v>42485</v>
      </c>
      <c r="H1093" s="22">
        <v>581.89779999999996</v>
      </c>
      <c r="I1093">
        <f t="shared" si="34"/>
        <v>4.1933520246839606E-5</v>
      </c>
      <c r="J1093" s="23">
        <v>42485</v>
      </c>
      <c r="K1093" s="22">
        <v>927.62929999999994</v>
      </c>
      <c r="L1093">
        <f t="shared" si="34"/>
        <v>-3.7824078808579298E-4</v>
      </c>
      <c r="M1093" s="23">
        <v>42452</v>
      </c>
      <c r="N1093" s="22">
        <v>1503.711</v>
      </c>
      <c r="O1093">
        <f t="shared" si="35"/>
        <v>-7.76389216068607E-3</v>
      </c>
    </row>
    <row r="1094" spans="7:15" x14ac:dyDescent="0.25">
      <c r="G1094" s="23">
        <v>42486</v>
      </c>
      <c r="H1094" s="22">
        <v>581.9194</v>
      </c>
      <c r="I1094">
        <f t="shared" si="34"/>
        <v>3.7119920371031512E-5</v>
      </c>
      <c r="J1094" s="23">
        <v>42486</v>
      </c>
      <c r="K1094" s="22">
        <v>927.47900000000004</v>
      </c>
      <c r="L1094">
        <f t="shared" si="34"/>
        <v>-1.6202592996994447E-4</v>
      </c>
      <c r="M1094" s="23">
        <v>42453</v>
      </c>
      <c r="N1094" s="22">
        <v>1503.472</v>
      </c>
      <c r="O1094">
        <f t="shared" si="35"/>
        <v>-1.5894011548767129E-4</v>
      </c>
    </row>
    <row r="1095" spans="7:15" x14ac:dyDescent="0.25">
      <c r="G1095" s="23">
        <v>42487</v>
      </c>
      <c r="H1095" s="22">
        <v>542.49549999999999</v>
      </c>
      <c r="I1095">
        <f t="shared" si="34"/>
        <v>-6.7748042082803939E-2</v>
      </c>
      <c r="J1095" s="23">
        <v>42487</v>
      </c>
      <c r="K1095" s="22">
        <v>911.77329999999995</v>
      </c>
      <c r="L1095">
        <f t="shared" si="34"/>
        <v>-1.6933752677958269E-2</v>
      </c>
      <c r="M1095" s="23">
        <v>42454</v>
      </c>
      <c r="N1095" s="22">
        <v>1503.472</v>
      </c>
      <c r="O1095">
        <f t="shared" si="35"/>
        <v>0</v>
      </c>
    </row>
    <row r="1096" spans="7:15" x14ac:dyDescent="0.25">
      <c r="G1096" s="23">
        <v>42488</v>
      </c>
      <c r="H1096" s="22">
        <v>541.80840000000001</v>
      </c>
      <c r="I1096">
        <f t="shared" si="34"/>
        <v>-1.2665542847820621E-3</v>
      </c>
      <c r="J1096" s="23">
        <v>42488</v>
      </c>
      <c r="K1096" s="22">
        <v>910.78030000000001</v>
      </c>
      <c r="L1096">
        <f t="shared" si="34"/>
        <v>-1.0890865086747858E-3</v>
      </c>
      <c r="M1096" s="23">
        <v>42457</v>
      </c>
      <c r="N1096" s="22">
        <v>1502.9010000000001</v>
      </c>
      <c r="O1096">
        <f t="shared" si="35"/>
        <v>-3.7978758500323284E-4</v>
      </c>
    </row>
    <row r="1097" spans="7:15" x14ac:dyDescent="0.25">
      <c r="G1097" s="23">
        <v>42489</v>
      </c>
      <c r="H1097" s="22">
        <v>540.88160000000005</v>
      </c>
      <c r="I1097">
        <f t="shared" si="34"/>
        <v>-1.7105677948144882E-3</v>
      </c>
      <c r="J1097" s="23">
        <v>42489</v>
      </c>
      <c r="K1097" s="22">
        <v>909.73469999999998</v>
      </c>
      <c r="L1097">
        <f t="shared" si="34"/>
        <v>-1.1480265877512608E-3</v>
      </c>
      <c r="M1097" s="23">
        <v>42458</v>
      </c>
      <c r="N1097" s="22">
        <v>1501.501</v>
      </c>
      <c r="O1097">
        <f t="shared" si="35"/>
        <v>-9.3153175092708373E-4</v>
      </c>
    </row>
    <row r="1098" spans="7:15" x14ac:dyDescent="0.25">
      <c r="G1098" s="23">
        <v>42492</v>
      </c>
      <c r="H1098" s="22">
        <v>540.84190000000001</v>
      </c>
      <c r="I1098">
        <f t="shared" si="34"/>
        <v>-7.3398688363646158E-5</v>
      </c>
      <c r="J1098" s="23">
        <v>42492</v>
      </c>
      <c r="K1098" s="22">
        <v>909.52160000000003</v>
      </c>
      <c r="L1098">
        <f t="shared" si="34"/>
        <v>-2.3424411534478384E-4</v>
      </c>
      <c r="M1098" s="23">
        <v>42459</v>
      </c>
      <c r="N1098" s="22">
        <v>1500.19</v>
      </c>
      <c r="O1098">
        <f t="shared" si="35"/>
        <v>-8.731262916241711E-4</v>
      </c>
    </row>
    <row r="1099" spans="7:15" x14ac:dyDescent="0.25">
      <c r="G1099" s="23">
        <v>42493</v>
      </c>
      <c r="H1099" s="22">
        <v>540.4556</v>
      </c>
      <c r="I1099">
        <f t="shared" si="34"/>
        <v>-7.1425679112513407E-4</v>
      </c>
      <c r="J1099" s="23">
        <v>42493</v>
      </c>
      <c r="K1099" s="22">
        <v>908.7636</v>
      </c>
      <c r="L1099">
        <f t="shared" si="34"/>
        <v>-8.3340516596863701E-4</v>
      </c>
      <c r="M1099" s="23">
        <v>42460</v>
      </c>
      <c r="N1099" s="22">
        <v>1428.2629999999999</v>
      </c>
      <c r="O1099">
        <f t="shared" si="35"/>
        <v>-4.7945260267032941E-2</v>
      </c>
    </row>
    <row r="1100" spans="7:15" x14ac:dyDescent="0.25">
      <c r="G1100" s="23">
        <v>42494</v>
      </c>
      <c r="H1100" s="22">
        <v>540.23649999999998</v>
      </c>
      <c r="I1100">
        <f t="shared" si="34"/>
        <v>-4.0539870435241099E-4</v>
      </c>
      <c r="J1100" s="23">
        <v>42494</v>
      </c>
      <c r="K1100" s="22">
        <v>908.70510000000002</v>
      </c>
      <c r="L1100">
        <f t="shared" si="34"/>
        <v>-6.437317691854183E-5</v>
      </c>
      <c r="M1100" s="23">
        <v>42461</v>
      </c>
      <c r="N1100" s="22">
        <v>1427.78</v>
      </c>
      <c r="O1100">
        <f t="shared" si="35"/>
        <v>-3.381730115531445E-4</v>
      </c>
    </row>
    <row r="1101" spans="7:15" x14ac:dyDescent="0.25">
      <c r="G1101" s="23">
        <v>42495</v>
      </c>
      <c r="H1101" s="22">
        <v>540.18579999999997</v>
      </c>
      <c r="I1101">
        <f t="shared" si="34"/>
        <v>-9.3847787034029295E-5</v>
      </c>
      <c r="J1101" s="23">
        <v>42495</v>
      </c>
      <c r="K1101" s="22">
        <v>908.46640000000002</v>
      </c>
      <c r="L1101">
        <f t="shared" si="34"/>
        <v>-2.6268147939301212E-4</v>
      </c>
      <c r="M1101" s="23">
        <v>42464</v>
      </c>
      <c r="N1101" s="22">
        <v>1427.7070000000001</v>
      </c>
      <c r="O1101">
        <f t="shared" si="35"/>
        <v>-5.1128325092020255E-5</v>
      </c>
    </row>
    <row r="1102" spans="7:15" x14ac:dyDescent="0.25">
      <c r="G1102" s="23">
        <v>42496</v>
      </c>
      <c r="H1102" s="22">
        <v>540.17499999999995</v>
      </c>
      <c r="I1102">
        <f t="shared" si="34"/>
        <v>-1.9993120885519744E-5</v>
      </c>
      <c r="J1102" s="23">
        <v>42496</v>
      </c>
      <c r="K1102" s="22">
        <v>908.29880000000003</v>
      </c>
      <c r="L1102">
        <f t="shared" si="34"/>
        <v>-1.8448673500748303E-4</v>
      </c>
      <c r="M1102" s="23">
        <v>42465</v>
      </c>
      <c r="N1102" s="22">
        <v>1427.325</v>
      </c>
      <c r="O1102">
        <f t="shared" si="35"/>
        <v>-2.6756190170673655E-4</v>
      </c>
    </row>
    <row r="1103" spans="7:15" x14ac:dyDescent="0.25">
      <c r="G1103" s="23">
        <v>42499</v>
      </c>
      <c r="H1103" s="22">
        <v>540.16800000000001</v>
      </c>
      <c r="I1103">
        <f t="shared" si="34"/>
        <v>-1.2958763363601911E-5</v>
      </c>
      <c r="J1103" s="23">
        <v>42499</v>
      </c>
      <c r="K1103" s="22">
        <v>908.90459999999996</v>
      </c>
      <c r="L1103">
        <f t="shared" si="34"/>
        <v>6.6696113657749301E-4</v>
      </c>
      <c r="M1103" s="23">
        <v>42466</v>
      </c>
      <c r="N1103" s="22">
        <v>1427.5550000000001</v>
      </c>
      <c r="O1103">
        <f t="shared" si="35"/>
        <v>1.611405951693623E-4</v>
      </c>
    </row>
    <row r="1104" spans="7:15" x14ac:dyDescent="0.25">
      <c r="G1104" s="23">
        <v>42500</v>
      </c>
      <c r="H1104" s="22">
        <v>540.11950000000002</v>
      </c>
      <c r="I1104">
        <f t="shared" si="34"/>
        <v>-8.978688111849209E-5</v>
      </c>
      <c r="J1104" s="23">
        <v>42500</v>
      </c>
      <c r="K1104" s="22">
        <v>909.28880000000004</v>
      </c>
      <c r="L1104">
        <f t="shared" si="34"/>
        <v>4.2270662949683846E-4</v>
      </c>
      <c r="M1104" s="23">
        <v>42467</v>
      </c>
      <c r="N1104" s="22">
        <v>1425.825</v>
      </c>
      <c r="O1104">
        <f t="shared" si="35"/>
        <v>-1.2118622399837076E-3</v>
      </c>
    </row>
    <row r="1105" spans="7:15" x14ac:dyDescent="0.25">
      <c r="G1105" s="23">
        <v>42501</v>
      </c>
      <c r="H1105" s="22">
        <v>540.02260000000001</v>
      </c>
      <c r="I1105">
        <f t="shared" si="34"/>
        <v>-1.794047428392842E-4</v>
      </c>
      <c r="J1105" s="23">
        <v>42501</v>
      </c>
      <c r="K1105" s="22">
        <v>909.96090000000004</v>
      </c>
      <c r="L1105">
        <f t="shared" si="34"/>
        <v>7.3914910202343975E-4</v>
      </c>
      <c r="M1105" s="23">
        <v>42468</v>
      </c>
      <c r="N1105" s="22">
        <v>1425.7</v>
      </c>
      <c r="O1105">
        <f t="shared" si="35"/>
        <v>-8.7668542773533531E-5</v>
      </c>
    </row>
    <row r="1106" spans="7:15" x14ac:dyDescent="0.25">
      <c r="G1106" s="23">
        <v>42502</v>
      </c>
      <c r="H1106" s="22">
        <v>540.06119999999999</v>
      </c>
      <c r="I1106">
        <f t="shared" si="34"/>
        <v>7.1478489974241555E-5</v>
      </c>
      <c r="J1106" s="23">
        <v>42502</v>
      </c>
      <c r="K1106" s="22">
        <v>910.35069999999996</v>
      </c>
      <c r="L1106">
        <f t="shared" si="34"/>
        <v>4.2837005414186891E-4</v>
      </c>
      <c r="M1106" s="23">
        <v>42471</v>
      </c>
      <c r="N1106" s="22">
        <v>1425.7529999999999</v>
      </c>
      <c r="O1106">
        <f t="shared" si="35"/>
        <v>3.7174721189581206E-5</v>
      </c>
    </row>
    <row r="1107" spans="7:15" x14ac:dyDescent="0.25">
      <c r="G1107" s="23">
        <v>42503</v>
      </c>
      <c r="H1107" s="22">
        <v>539.86810000000003</v>
      </c>
      <c r="I1107">
        <f t="shared" si="34"/>
        <v>-3.5755207002452494E-4</v>
      </c>
      <c r="J1107" s="23">
        <v>42503</v>
      </c>
      <c r="K1107" s="22">
        <v>910.19880000000001</v>
      </c>
      <c r="L1107">
        <f t="shared" si="34"/>
        <v>-1.6685877211930489E-4</v>
      </c>
      <c r="M1107" s="23">
        <v>42472</v>
      </c>
      <c r="N1107" s="22">
        <v>1425.7449999999999</v>
      </c>
      <c r="O1107">
        <f t="shared" si="35"/>
        <v>-5.6110700802358693E-6</v>
      </c>
    </row>
    <row r="1108" spans="7:15" x14ac:dyDescent="0.25">
      <c r="G1108" s="23">
        <v>42506</v>
      </c>
      <c r="H1108" s="22">
        <v>539.88310000000001</v>
      </c>
      <c r="I1108">
        <f t="shared" si="34"/>
        <v>2.7784564414767843E-5</v>
      </c>
      <c r="J1108" s="23">
        <v>42506</v>
      </c>
      <c r="K1108" s="22">
        <v>910.24429999999995</v>
      </c>
      <c r="L1108">
        <f t="shared" si="34"/>
        <v>4.9989079308865314E-5</v>
      </c>
      <c r="M1108" s="23">
        <v>42473</v>
      </c>
      <c r="N1108" s="22">
        <v>1425.5909999999999</v>
      </c>
      <c r="O1108">
        <f t="shared" si="35"/>
        <v>-1.0801370511559494E-4</v>
      </c>
    </row>
    <row r="1109" spans="7:15" x14ac:dyDescent="0.25">
      <c r="G1109" s="23">
        <v>42507</v>
      </c>
      <c r="H1109" s="22">
        <v>539.90210000000002</v>
      </c>
      <c r="I1109">
        <f t="shared" si="34"/>
        <v>3.5192803775396797E-5</v>
      </c>
      <c r="J1109" s="23">
        <v>42507</v>
      </c>
      <c r="K1109" s="22">
        <v>910.41060000000004</v>
      </c>
      <c r="L1109">
        <f t="shared" si="34"/>
        <v>1.8269820530614211E-4</v>
      </c>
      <c r="M1109" s="23">
        <v>42474</v>
      </c>
      <c r="N1109" s="22">
        <v>1425.06</v>
      </c>
      <c r="O1109">
        <f t="shared" si="35"/>
        <v>-3.7247709897159087E-4</v>
      </c>
    </row>
    <row r="1110" spans="7:15" x14ac:dyDescent="0.25">
      <c r="G1110" s="23">
        <v>42508</v>
      </c>
      <c r="H1110" s="22">
        <v>539.98109999999997</v>
      </c>
      <c r="I1110">
        <f t="shared" si="34"/>
        <v>1.4632282408233444E-4</v>
      </c>
      <c r="J1110" s="23">
        <v>42508</v>
      </c>
      <c r="K1110" s="22">
        <v>910.76390000000004</v>
      </c>
      <c r="L1110">
        <f t="shared" si="34"/>
        <v>3.8806665915358529E-4</v>
      </c>
      <c r="M1110" s="23">
        <v>42475</v>
      </c>
      <c r="N1110" s="22">
        <v>1422.0740000000001</v>
      </c>
      <c r="O1110">
        <f t="shared" si="35"/>
        <v>-2.0953503712123345E-3</v>
      </c>
    </row>
    <row r="1111" spans="7:15" x14ac:dyDescent="0.25">
      <c r="G1111" s="23">
        <v>42509</v>
      </c>
      <c r="H1111" s="22">
        <v>550.91319999999996</v>
      </c>
      <c r="I1111">
        <f t="shared" si="34"/>
        <v>2.0245338216467124E-2</v>
      </c>
      <c r="J1111" s="23">
        <v>42509</v>
      </c>
      <c r="K1111" s="22">
        <v>911.95219999999995</v>
      </c>
      <c r="L1111">
        <f t="shared" si="34"/>
        <v>1.3047289204148882E-3</v>
      </c>
      <c r="M1111" s="23">
        <v>42478</v>
      </c>
      <c r="N1111" s="22">
        <v>1422.1510000000001</v>
      </c>
      <c r="O1111">
        <f t="shared" si="35"/>
        <v>5.4146268056332048E-5</v>
      </c>
    </row>
    <row r="1112" spans="7:15" x14ac:dyDescent="0.25">
      <c r="G1112" s="23">
        <v>42510</v>
      </c>
      <c r="H1112" s="22">
        <v>550.9692</v>
      </c>
      <c r="I1112">
        <f t="shared" si="34"/>
        <v>1.0164940683954349E-4</v>
      </c>
      <c r="J1112" s="23">
        <v>42510</v>
      </c>
      <c r="K1112" s="22">
        <v>932.99760000000003</v>
      </c>
      <c r="L1112">
        <f t="shared" si="34"/>
        <v>2.3077306025469424E-2</v>
      </c>
      <c r="M1112" s="23">
        <v>42479</v>
      </c>
      <c r="N1112" s="22">
        <v>1421.7550000000001</v>
      </c>
      <c r="O1112">
        <f t="shared" si="35"/>
        <v>-2.7845144432625535E-4</v>
      </c>
    </row>
    <row r="1113" spans="7:15" x14ac:dyDescent="0.25">
      <c r="G1113" s="23">
        <v>42513</v>
      </c>
      <c r="H1113" s="22">
        <v>550.93029999999999</v>
      </c>
      <c r="I1113">
        <f t="shared" si="34"/>
        <v>-7.0602857655255313E-5</v>
      </c>
      <c r="J1113" s="23">
        <v>42513</v>
      </c>
      <c r="K1113" s="22">
        <v>932.50969999999995</v>
      </c>
      <c r="L1113">
        <f t="shared" si="34"/>
        <v>-5.2293810830816856E-4</v>
      </c>
      <c r="M1113" s="23">
        <v>42480</v>
      </c>
      <c r="N1113" s="22">
        <v>1421.8989999999999</v>
      </c>
      <c r="O1113">
        <f t="shared" si="35"/>
        <v>1.0128327313752017E-4</v>
      </c>
    </row>
    <row r="1114" spans="7:15" x14ac:dyDescent="0.25">
      <c r="G1114" s="23">
        <v>42514</v>
      </c>
      <c r="H1114" s="22">
        <v>551.1019</v>
      </c>
      <c r="I1114">
        <f t="shared" si="34"/>
        <v>3.1147315731239189E-4</v>
      </c>
      <c r="J1114" s="23">
        <v>42514</v>
      </c>
      <c r="K1114" s="22">
        <v>929.15390000000002</v>
      </c>
      <c r="L1114">
        <f t="shared" si="34"/>
        <v>-3.5986757027834937E-3</v>
      </c>
      <c r="M1114" s="23">
        <v>42481</v>
      </c>
      <c r="N1114" s="22">
        <v>1421.6089999999999</v>
      </c>
      <c r="O1114">
        <f t="shared" si="35"/>
        <v>-2.0395260141536919E-4</v>
      </c>
    </row>
    <row r="1115" spans="7:15" x14ac:dyDescent="0.25">
      <c r="G1115" s="23">
        <v>42515</v>
      </c>
      <c r="H1115" s="22">
        <v>550.72760000000005</v>
      </c>
      <c r="I1115">
        <f t="shared" si="34"/>
        <v>-6.7918473879324814E-4</v>
      </c>
      <c r="J1115" s="23">
        <v>42515</v>
      </c>
      <c r="K1115" s="22">
        <v>929.12959999999998</v>
      </c>
      <c r="L1115">
        <f t="shared" si="34"/>
        <v>-2.6152825705283433E-5</v>
      </c>
      <c r="M1115" s="23">
        <v>42482</v>
      </c>
      <c r="N1115" s="22">
        <v>1420.6030000000001</v>
      </c>
      <c r="O1115">
        <f t="shared" si="35"/>
        <v>-7.0764886828933449E-4</v>
      </c>
    </row>
    <row r="1116" spans="7:15" x14ac:dyDescent="0.25">
      <c r="G1116" s="23">
        <v>42516</v>
      </c>
      <c r="H1116" s="22">
        <v>550.59500000000003</v>
      </c>
      <c r="I1116">
        <f t="shared" si="34"/>
        <v>-2.407723891085789E-4</v>
      </c>
      <c r="J1116" s="23">
        <v>42516</v>
      </c>
      <c r="K1116" s="22">
        <v>928.70889999999997</v>
      </c>
      <c r="L1116">
        <f t="shared" si="34"/>
        <v>-4.5278936329229413E-4</v>
      </c>
      <c r="M1116" s="23">
        <v>42485</v>
      </c>
      <c r="N1116" s="22">
        <v>1420.5440000000001</v>
      </c>
      <c r="O1116">
        <f t="shared" si="35"/>
        <v>-4.1531659443205804E-5</v>
      </c>
    </row>
    <row r="1117" spans="7:15" x14ac:dyDescent="0.25">
      <c r="G1117" s="23">
        <v>42517</v>
      </c>
      <c r="H1117" s="22">
        <v>550.62429999999995</v>
      </c>
      <c r="I1117">
        <f t="shared" si="34"/>
        <v>5.3215158146935337E-5</v>
      </c>
      <c r="J1117" s="23">
        <v>42517</v>
      </c>
      <c r="K1117" s="22">
        <v>928.56470000000002</v>
      </c>
      <c r="L1117">
        <f t="shared" si="34"/>
        <v>-1.5526932066656229E-4</v>
      </c>
      <c r="M1117" s="23">
        <v>42486</v>
      </c>
      <c r="N1117" s="22">
        <v>1419.123</v>
      </c>
      <c r="O1117">
        <f t="shared" si="35"/>
        <v>-1.0003210037845545E-3</v>
      </c>
    </row>
    <row r="1118" spans="7:15" x14ac:dyDescent="0.25">
      <c r="G1118" s="23">
        <v>42520</v>
      </c>
      <c r="H1118" s="22">
        <v>550.62429999999995</v>
      </c>
      <c r="I1118">
        <f t="shared" si="34"/>
        <v>0</v>
      </c>
      <c r="J1118" s="23">
        <v>42520</v>
      </c>
      <c r="K1118" s="22">
        <v>928.56470000000002</v>
      </c>
      <c r="L1118">
        <f t="shared" si="34"/>
        <v>0</v>
      </c>
      <c r="M1118" s="23">
        <v>42487</v>
      </c>
      <c r="N1118" s="22">
        <v>1409.5450000000001</v>
      </c>
      <c r="O1118">
        <f t="shared" si="35"/>
        <v>-6.7492387904360962E-3</v>
      </c>
    </row>
    <row r="1119" spans="7:15" x14ac:dyDescent="0.25">
      <c r="G1119" s="23">
        <v>42521</v>
      </c>
      <c r="H1119" s="22">
        <v>550.64359999999999</v>
      </c>
      <c r="I1119">
        <f t="shared" si="34"/>
        <v>3.5051122880158658E-5</v>
      </c>
      <c r="J1119" s="23">
        <v>42521</v>
      </c>
      <c r="K1119" s="22">
        <v>927.82629999999995</v>
      </c>
      <c r="L1119">
        <f t="shared" si="34"/>
        <v>-7.9520576218339301E-4</v>
      </c>
      <c r="M1119" s="23">
        <v>42488</v>
      </c>
      <c r="N1119" s="22">
        <v>1408.981</v>
      </c>
      <c r="O1119">
        <f t="shared" si="35"/>
        <v>-4.0012911968057008E-4</v>
      </c>
    </row>
    <row r="1120" spans="7:15" x14ac:dyDescent="0.25">
      <c r="G1120" s="23">
        <v>42522</v>
      </c>
      <c r="H1120" s="22">
        <v>550.31489999999997</v>
      </c>
      <c r="I1120">
        <f t="shared" si="34"/>
        <v>-5.9693783783199006E-4</v>
      </c>
      <c r="J1120" s="23">
        <v>42522</v>
      </c>
      <c r="K1120" s="22">
        <v>928.04309999999998</v>
      </c>
      <c r="L1120">
        <f t="shared" si="34"/>
        <v>2.3366442619709993E-4</v>
      </c>
      <c r="M1120" s="23">
        <v>42489</v>
      </c>
      <c r="N1120" s="22">
        <v>1372.6479999999999</v>
      </c>
      <c r="O1120">
        <f t="shared" si="35"/>
        <v>-2.5786721041660687E-2</v>
      </c>
    </row>
    <row r="1121" spans="7:15" x14ac:dyDescent="0.25">
      <c r="G1121" s="23">
        <v>42523</v>
      </c>
      <c r="H1121" s="22">
        <v>550.2038</v>
      </c>
      <c r="I1121">
        <f t="shared" si="34"/>
        <v>-2.0188441199753271E-4</v>
      </c>
      <c r="J1121" s="23">
        <v>42523</v>
      </c>
      <c r="K1121" s="22">
        <v>928.22019999999998</v>
      </c>
      <c r="L1121">
        <f t="shared" si="34"/>
        <v>1.9083165426270199E-4</v>
      </c>
      <c r="M1121" s="23">
        <v>42492</v>
      </c>
      <c r="N1121" s="22">
        <v>1372.2429999999999</v>
      </c>
      <c r="O1121">
        <f t="shared" si="35"/>
        <v>-2.9505015124053902E-4</v>
      </c>
    </row>
    <row r="1122" spans="7:15" x14ac:dyDescent="0.25">
      <c r="G1122" s="23">
        <v>42524</v>
      </c>
      <c r="H1122" s="22">
        <v>550.04999999999995</v>
      </c>
      <c r="I1122">
        <f t="shared" si="34"/>
        <v>-2.7953278403392012E-4</v>
      </c>
      <c r="J1122" s="23">
        <v>42524</v>
      </c>
      <c r="K1122" s="22">
        <v>928.3442</v>
      </c>
      <c r="L1122">
        <f t="shared" si="34"/>
        <v>1.3358899106052924E-4</v>
      </c>
      <c r="M1122" s="23">
        <v>42493</v>
      </c>
      <c r="N1122" s="22">
        <v>1371.193</v>
      </c>
      <c r="O1122">
        <f t="shared" si="35"/>
        <v>-7.6517060025083072E-4</v>
      </c>
    </row>
    <row r="1123" spans="7:15" x14ac:dyDescent="0.25">
      <c r="G1123" s="23">
        <v>42527</v>
      </c>
      <c r="H1123" s="22">
        <v>549.82420000000002</v>
      </c>
      <c r="I1123">
        <f t="shared" si="34"/>
        <v>-4.1050813562393262E-4</v>
      </c>
      <c r="J1123" s="23">
        <v>42527</v>
      </c>
      <c r="K1123" s="22">
        <v>928.02160000000003</v>
      </c>
      <c r="L1123">
        <f t="shared" si="34"/>
        <v>-3.4750042064135567E-4</v>
      </c>
      <c r="M1123" s="23">
        <v>42494</v>
      </c>
      <c r="N1123" s="22">
        <v>1370.0609999999999</v>
      </c>
      <c r="O1123">
        <f t="shared" si="35"/>
        <v>-8.2555847353371625E-4</v>
      </c>
    </row>
    <row r="1124" spans="7:15" x14ac:dyDescent="0.25">
      <c r="G1124" s="23">
        <v>42528</v>
      </c>
      <c r="H1124" s="22">
        <v>549.58910000000003</v>
      </c>
      <c r="I1124">
        <f t="shared" si="34"/>
        <v>-4.2759121915691978E-4</v>
      </c>
      <c r="J1124" s="23">
        <v>42528</v>
      </c>
      <c r="K1124" s="22">
        <v>927.87429999999995</v>
      </c>
      <c r="L1124">
        <f t="shared" si="34"/>
        <v>-1.5872475382050499E-4</v>
      </c>
      <c r="M1124" s="23">
        <v>42495</v>
      </c>
      <c r="N1124" s="22">
        <v>1369.81</v>
      </c>
      <c r="O1124">
        <f t="shared" si="35"/>
        <v>-1.8320352159495457E-4</v>
      </c>
    </row>
    <row r="1125" spans="7:15" x14ac:dyDescent="0.25">
      <c r="G1125" s="23">
        <v>42529</v>
      </c>
      <c r="H1125" s="22">
        <v>549.55880000000002</v>
      </c>
      <c r="I1125">
        <f t="shared" si="34"/>
        <v>-5.5132097779964084E-5</v>
      </c>
      <c r="J1125" s="23">
        <v>42529</v>
      </c>
      <c r="K1125" s="22">
        <v>927.21349999999995</v>
      </c>
      <c r="L1125">
        <f t="shared" si="34"/>
        <v>-7.1216543016661138E-4</v>
      </c>
      <c r="M1125" s="23">
        <v>42496</v>
      </c>
      <c r="N1125" s="22">
        <v>1369.8589999999999</v>
      </c>
      <c r="O1125">
        <f t="shared" si="35"/>
        <v>3.5771384352623059E-5</v>
      </c>
    </row>
    <row r="1126" spans="7:15" x14ac:dyDescent="0.25">
      <c r="G1126" s="23">
        <v>42530</v>
      </c>
      <c r="H1126" s="22">
        <v>549.48630000000003</v>
      </c>
      <c r="I1126">
        <f t="shared" si="34"/>
        <v>-1.3192400885941868E-4</v>
      </c>
      <c r="J1126" s="23">
        <v>42530</v>
      </c>
      <c r="K1126" s="22">
        <v>917.35440000000006</v>
      </c>
      <c r="L1126">
        <f t="shared" si="34"/>
        <v>-1.0633041904588247E-2</v>
      </c>
      <c r="M1126" s="23">
        <v>42499</v>
      </c>
      <c r="N1126" s="22">
        <v>1369.422</v>
      </c>
      <c r="O1126">
        <f t="shared" si="35"/>
        <v>-3.1901093470199093E-4</v>
      </c>
    </row>
    <row r="1127" spans="7:15" x14ac:dyDescent="0.25">
      <c r="G1127" s="23">
        <v>42531</v>
      </c>
      <c r="H1127" s="22">
        <v>549.78830000000005</v>
      </c>
      <c r="I1127">
        <f t="shared" si="34"/>
        <v>5.4960423945060732E-4</v>
      </c>
      <c r="J1127" s="23">
        <v>42531</v>
      </c>
      <c r="K1127" s="22">
        <v>918.84519999999998</v>
      </c>
      <c r="L1127">
        <f t="shared" si="34"/>
        <v>1.6251080280422769E-3</v>
      </c>
      <c r="M1127" s="23">
        <v>42500</v>
      </c>
      <c r="N1127" s="22">
        <v>1369.481</v>
      </c>
      <c r="O1127">
        <f t="shared" si="35"/>
        <v>4.3083870421289916E-5</v>
      </c>
    </row>
    <row r="1128" spans="7:15" x14ac:dyDescent="0.25">
      <c r="G1128" s="23">
        <v>42534</v>
      </c>
      <c r="H1128" s="22">
        <v>549.77549999999997</v>
      </c>
      <c r="I1128">
        <f t="shared" si="34"/>
        <v>-2.3281688606435758E-5</v>
      </c>
      <c r="J1128" s="23">
        <v>42534</v>
      </c>
      <c r="K1128" s="22">
        <v>918.58680000000004</v>
      </c>
      <c r="L1128">
        <f t="shared" si="34"/>
        <v>-2.8122256066631657E-4</v>
      </c>
      <c r="M1128" s="23">
        <v>42501</v>
      </c>
      <c r="N1128" s="22">
        <v>1369.318</v>
      </c>
      <c r="O1128">
        <f t="shared" si="35"/>
        <v>-1.1902319199752487E-4</v>
      </c>
    </row>
    <row r="1129" spans="7:15" x14ac:dyDescent="0.25">
      <c r="G1129" s="23">
        <v>42535</v>
      </c>
      <c r="H1129" s="22">
        <v>549.74220000000003</v>
      </c>
      <c r="I1129">
        <f t="shared" si="34"/>
        <v>-6.0570178190832991E-5</v>
      </c>
      <c r="J1129" s="23">
        <v>42535</v>
      </c>
      <c r="K1129" s="22">
        <v>918.43859999999995</v>
      </c>
      <c r="L1129">
        <f t="shared" si="34"/>
        <v>-1.6133478077418051E-4</v>
      </c>
      <c r="M1129" s="23">
        <v>42502</v>
      </c>
      <c r="N1129" s="22">
        <v>1369.402</v>
      </c>
      <c r="O1129">
        <f t="shared" si="35"/>
        <v>6.1344406485641656E-5</v>
      </c>
    </row>
    <row r="1130" spans="7:15" x14ac:dyDescent="0.25">
      <c r="G1130" s="23">
        <v>42536</v>
      </c>
      <c r="H1130" s="22">
        <v>549.82719999999995</v>
      </c>
      <c r="I1130">
        <f t="shared" si="34"/>
        <v>1.5461792818505238E-4</v>
      </c>
      <c r="J1130" s="23">
        <v>42536</v>
      </c>
      <c r="K1130" s="22">
        <v>918.37829999999997</v>
      </c>
      <c r="L1130">
        <f t="shared" si="34"/>
        <v>-6.5654906054701812E-5</v>
      </c>
      <c r="M1130" s="23">
        <v>42503</v>
      </c>
      <c r="N1130" s="22">
        <v>1369.3320000000001</v>
      </c>
      <c r="O1130">
        <f t="shared" si="35"/>
        <v>-5.1117202983452792E-5</v>
      </c>
    </row>
    <row r="1131" spans="7:15" x14ac:dyDescent="0.25">
      <c r="G1131" s="23">
        <v>42537</v>
      </c>
      <c r="H1131" s="22">
        <v>549.81579999999997</v>
      </c>
      <c r="I1131">
        <f t="shared" si="34"/>
        <v>-2.0733786906146356E-5</v>
      </c>
      <c r="J1131" s="23">
        <v>42537</v>
      </c>
      <c r="K1131" s="22">
        <v>918.44560000000001</v>
      </c>
      <c r="L1131">
        <f t="shared" si="34"/>
        <v>7.3281348220044507E-5</v>
      </c>
      <c r="M1131" s="23">
        <v>42506</v>
      </c>
      <c r="N1131" s="22">
        <v>1369.38</v>
      </c>
      <c r="O1131">
        <f t="shared" si="35"/>
        <v>3.5053588173017403E-5</v>
      </c>
    </row>
    <row r="1132" spans="7:15" x14ac:dyDescent="0.25">
      <c r="G1132" s="23">
        <v>42538</v>
      </c>
      <c r="H1132" s="22">
        <v>549.80399999999997</v>
      </c>
      <c r="I1132">
        <f t="shared" si="34"/>
        <v>-2.1461733184069409E-5</v>
      </c>
      <c r="J1132" s="23">
        <v>42538</v>
      </c>
      <c r="K1132" s="22">
        <v>918.28110000000004</v>
      </c>
      <c r="L1132">
        <f t="shared" si="34"/>
        <v>-1.7910696071710142E-4</v>
      </c>
      <c r="M1132" s="23">
        <v>42507</v>
      </c>
      <c r="N1132" s="22">
        <v>1369.3679999999999</v>
      </c>
      <c r="O1132">
        <f t="shared" si="35"/>
        <v>-8.7630898656376743E-6</v>
      </c>
    </row>
    <row r="1133" spans="7:15" x14ac:dyDescent="0.25">
      <c r="G1133" s="23">
        <v>42541</v>
      </c>
      <c r="H1133" s="22">
        <v>549.72199999999998</v>
      </c>
      <c r="I1133">
        <f t="shared" si="34"/>
        <v>-1.4914405860999569E-4</v>
      </c>
      <c r="J1133" s="23">
        <v>42541</v>
      </c>
      <c r="K1133" s="22">
        <v>918.33730000000003</v>
      </c>
      <c r="L1133">
        <f t="shared" si="34"/>
        <v>6.1201303173996635E-5</v>
      </c>
      <c r="M1133" s="23">
        <v>42508</v>
      </c>
      <c r="N1133" s="22">
        <v>1369.549</v>
      </c>
      <c r="O1133">
        <f t="shared" si="35"/>
        <v>1.3217776375684664E-4</v>
      </c>
    </row>
    <row r="1134" spans="7:15" x14ac:dyDescent="0.25">
      <c r="G1134" s="23">
        <v>42542</v>
      </c>
      <c r="H1134" s="22">
        <v>549.50220000000002</v>
      </c>
      <c r="I1134">
        <f t="shared" si="34"/>
        <v>-3.9983846380531318E-4</v>
      </c>
      <c r="J1134" s="23">
        <v>42542</v>
      </c>
      <c r="K1134" s="22">
        <v>918.69200000000001</v>
      </c>
      <c r="L1134">
        <f t="shared" si="34"/>
        <v>3.8624152585331473E-4</v>
      </c>
      <c r="M1134" s="23">
        <v>42509</v>
      </c>
      <c r="N1134" s="22">
        <v>1370.999</v>
      </c>
      <c r="O1134">
        <f t="shared" si="35"/>
        <v>1.058742695588144E-3</v>
      </c>
    </row>
    <row r="1135" spans="7:15" x14ac:dyDescent="0.25">
      <c r="G1135" s="23">
        <v>42543</v>
      </c>
      <c r="H1135" s="22">
        <v>549.49339999999995</v>
      </c>
      <c r="I1135">
        <f t="shared" si="34"/>
        <v>-1.6014494573557414E-5</v>
      </c>
      <c r="J1135" s="23">
        <v>42543</v>
      </c>
      <c r="K1135" s="22">
        <v>918.70429999999999</v>
      </c>
      <c r="L1135">
        <f t="shared" si="34"/>
        <v>1.3388600314412358E-5</v>
      </c>
      <c r="M1135" s="23">
        <v>42510</v>
      </c>
      <c r="N1135" s="22">
        <v>1429.386</v>
      </c>
      <c r="O1135">
        <f t="shared" si="35"/>
        <v>4.2587193717865457E-2</v>
      </c>
    </row>
    <row r="1136" spans="7:15" x14ac:dyDescent="0.25">
      <c r="G1136" s="23">
        <v>42544</v>
      </c>
      <c r="H1136" s="22">
        <v>549.50070000000005</v>
      </c>
      <c r="I1136">
        <f t="shared" si="34"/>
        <v>1.3284963932491678E-5</v>
      </c>
      <c r="J1136" s="23">
        <v>42544</v>
      </c>
      <c r="K1136" s="22">
        <v>922.93340000000001</v>
      </c>
      <c r="L1136">
        <f t="shared" si="34"/>
        <v>4.6033310173905218E-3</v>
      </c>
      <c r="M1136" s="23">
        <v>42513</v>
      </c>
      <c r="N1136" s="22">
        <v>1429.4110000000001</v>
      </c>
      <c r="O1136">
        <f t="shared" si="35"/>
        <v>1.7490027186539692E-5</v>
      </c>
    </row>
    <row r="1137" spans="7:15" x14ac:dyDescent="0.25">
      <c r="G1137" s="23">
        <v>42545</v>
      </c>
      <c r="H1137" s="22">
        <v>605.10799999999995</v>
      </c>
      <c r="I1137">
        <f t="shared" si="34"/>
        <v>0.10119604943178406</v>
      </c>
      <c r="J1137" s="23">
        <v>42545</v>
      </c>
      <c r="K1137" s="22">
        <v>988.39949999999999</v>
      </c>
      <c r="L1137">
        <f t="shared" si="34"/>
        <v>7.0932637176203572E-2</v>
      </c>
      <c r="M1137" s="23">
        <v>42514</v>
      </c>
      <c r="N1137" s="22">
        <v>1429.443</v>
      </c>
      <c r="O1137">
        <f t="shared" si="35"/>
        <v>2.2386843252064637E-5</v>
      </c>
    </row>
    <row r="1138" spans="7:15" x14ac:dyDescent="0.25">
      <c r="G1138" s="23">
        <v>42548</v>
      </c>
      <c r="H1138" s="22">
        <v>584.81330000000003</v>
      </c>
      <c r="I1138">
        <f t="shared" si="34"/>
        <v>-3.3538971555490793E-2</v>
      </c>
      <c r="J1138" s="23">
        <v>42548</v>
      </c>
      <c r="K1138" s="22">
        <v>987.80889999999999</v>
      </c>
      <c r="L1138">
        <f t="shared" si="34"/>
        <v>-5.9753166609255448E-4</v>
      </c>
      <c r="M1138" s="23">
        <v>42515</v>
      </c>
      <c r="N1138" s="22">
        <v>1429.0029999999999</v>
      </c>
      <c r="O1138">
        <f t="shared" si="35"/>
        <v>-3.0781220377451568E-4</v>
      </c>
    </row>
    <row r="1139" spans="7:15" x14ac:dyDescent="0.25">
      <c r="G1139" s="23">
        <v>42549</v>
      </c>
      <c r="H1139" s="22">
        <v>583.56989999999996</v>
      </c>
      <c r="I1139">
        <f t="shared" si="34"/>
        <v>-2.1261486358126191E-3</v>
      </c>
      <c r="J1139" s="23">
        <v>42549</v>
      </c>
      <c r="K1139" s="22">
        <v>974.70010000000002</v>
      </c>
      <c r="L1139">
        <f t="shared" si="34"/>
        <v>-1.3270583004465708E-2</v>
      </c>
      <c r="M1139" s="23">
        <v>42516</v>
      </c>
      <c r="N1139" s="22">
        <v>1428.806</v>
      </c>
      <c r="O1139">
        <f t="shared" si="35"/>
        <v>-1.3785835299151561E-4</v>
      </c>
    </row>
    <row r="1140" spans="7:15" x14ac:dyDescent="0.25">
      <c r="G1140" s="23">
        <v>42550</v>
      </c>
      <c r="H1140" s="22">
        <v>582.90710000000001</v>
      </c>
      <c r="I1140">
        <f t="shared" si="34"/>
        <v>-1.1357679688412947E-3</v>
      </c>
      <c r="J1140" s="23">
        <v>42550</v>
      </c>
      <c r="K1140" s="22">
        <v>974.50689999999997</v>
      </c>
      <c r="L1140">
        <f t="shared" si="34"/>
        <v>-1.9821481499804339E-4</v>
      </c>
      <c r="M1140" s="23">
        <v>42517</v>
      </c>
      <c r="N1140" s="22">
        <v>1428.8489999999999</v>
      </c>
      <c r="O1140">
        <f t="shared" si="35"/>
        <v>3.0095058391355067E-5</v>
      </c>
    </row>
    <row r="1141" spans="7:15" x14ac:dyDescent="0.25">
      <c r="G1141" s="23">
        <v>42551</v>
      </c>
      <c r="H1141" s="22">
        <v>540.43529999999998</v>
      </c>
      <c r="I1141">
        <f t="shared" si="34"/>
        <v>-7.286203925119461E-2</v>
      </c>
      <c r="J1141" s="23">
        <v>42551</v>
      </c>
      <c r="K1141" s="22">
        <v>941.73699999999997</v>
      </c>
      <c r="L1141">
        <f t="shared" si="34"/>
        <v>-3.362716056705195E-2</v>
      </c>
      <c r="M1141" s="23">
        <v>42520</v>
      </c>
      <c r="N1141" s="22">
        <v>1428.8489999999999</v>
      </c>
      <c r="O1141">
        <f t="shared" si="35"/>
        <v>0</v>
      </c>
    </row>
    <row r="1142" spans="7:15" x14ac:dyDescent="0.25">
      <c r="G1142" s="23">
        <v>42552</v>
      </c>
      <c r="H1142" s="22">
        <v>540.21669999999995</v>
      </c>
      <c r="I1142">
        <f t="shared" si="34"/>
        <v>-4.0448875193765943E-4</v>
      </c>
      <c r="J1142" s="23">
        <v>42552</v>
      </c>
      <c r="K1142" s="22">
        <v>941.61869999999999</v>
      </c>
      <c r="L1142">
        <f t="shared" si="34"/>
        <v>-1.2561893607232477E-4</v>
      </c>
      <c r="M1142" s="23">
        <v>42521</v>
      </c>
      <c r="N1142" s="22">
        <v>1427.6869999999999</v>
      </c>
      <c r="O1142">
        <f t="shared" si="35"/>
        <v>-8.1324198708188078E-4</v>
      </c>
    </row>
    <row r="1143" spans="7:15" x14ac:dyDescent="0.25">
      <c r="G1143" s="23">
        <v>42555</v>
      </c>
      <c r="H1143" s="22">
        <v>540.21669999999995</v>
      </c>
      <c r="I1143">
        <f t="shared" si="34"/>
        <v>0</v>
      </c>
      <c r="J1143" s="23">
        <v>42555</v>
      </c>
      <c r="K1143" s="22">
        <v>941.61869999999999</v>
      </c>
      <c r="L1143">
        <f t="shared" si="34"/>
        <v>0</v>
      </c>
      <c r="M1143" s="23">
        <v>42522</v>
      </c>
      <c r="N1143" s="22">
        <v>1427.373</v>
      </c>
      <c r="O1143">
        <f t="shared" si="35"/>
        <v>-2.1993616247806269E-4</v>
      </c>
    </row>
    <row r="1144" spans="7:15" x14ac:dyDescent="0.25">
      <c r="G1144" s="23">
        <v>42556</v>
      </c>
      <c r="H1144" s="22">
        <v>540.17840000000001</v>
      </c>
      <c r="I1144">
        <f t="shared" si="34"/>
        <v>-7.0897475031639345E-5</v>
      </c>
      <c r="J1144" s="23">
        <v>42556</v>
      </c>
      <c r="K1144" s="22">
        <v>941.66039999999998</v>
      </c>
      <c r="L1144">
        <f t="shared" si="34"/>
        <v>4.4285441654912105E-5</v>
      </c>
      <c r="M1144" s="23">
        <v>42523</v>
      </c>
      <c r="N1144" s="22">
        <v>1426.595</v>
      </c>
      <c r="O1144">
        <f t="shared" si="35"/>
        <v>-5.4505724852582649E-4</v>
      </c>
    </row>
    <row r="1145" spans="7:15" x14ac:dyDescent="0.25">
      <c r="G1145" s="23">
        <v>42557</v>
      </c>
      <c r="H1145" s="22">
        <v>539.57339999999999</v>
      </c>
      <c r="I1145">
        <f t="shared" si="34"/>
        <v>-1.1200003554381333E-3</v>
      </c>
      <c r="J1145" s="23">
        <v>42557</v>
      </c>
      <c r="K1145" s="22">
        <v>941.07730000000004</v>
      </c>
      <c r="L1145">
        <f t="shared" si="34"/>
        <v>-6.1922535980052373E-4</v>
      </c>
      <c r="M1145" s="23">
        <v>42524</v>
      </c>
      <c r="N1145" s="22">
        <v>1426.502</v>
      </c>
      <c r="O1145">
        <f t="shared" si="35"/>
        <v>-6.5190190628783284E-5</v>
      </c>
    </row>
    <row r="1146" spans="7:15" x14ac:dyDescent="0.25">
      <c r="G1146" s="23">
        <v>42558</v>
      </c>
      <c r="H1146" s="22">
        <v>539.65740000000005</v>
      </c>
      <c r="I1146">
        <f t="shared" si="34"/>
        <v>1.5567854160347672E-4</v>
      </c>
      <c r="J1146" s="23">
        <v>42558</v>
      </c>
      <c r="K1146" s="22">
        <v>940.22770000000003</v>
      </c>
      <c r="L1146">
        <f t="shared" si="34"/>
        <v>-9.0279512639401815E-4</v>
      </c>
      <c r="M1146" s="23">
        <v>42527</v>
      </c>
      <c r="N1146" s="22">
        <v>1422.799</v>
      </c>
      <c r="O1146">
        <f t="shared" si="35"/>
        <v>-2.5958603633222666E-3</v>
      </c>
    </row>
    <row r="1147" spans="7:15" x14ac:dyDescent="0.25">
      <c r="G1147" s="23">
        <v>42559</v>
      </c>
      <c r="H1147" s="22">
        <v>539.9701</v>
      </c>
      <c r="I1147">
        <f t="shared" si="34"/>
        <v>5.7944169763990416E-4</v>
      </c>
      <c r="J1147" s="23">
        <v>42559</v>
      </c>
      <c r="K1147" s="22">
        <v>940.07320000000004</v>
      </c>
      <c r="L1147">
        <f t="shared" si="34"/>
        <v>-1.643218977700478E-4</v>
      </c>
      <c r="M1147" s="23">
        <v>42528</v>
      </c>
      <c r="N1147" s="22">
        <v>1421.942</v>
      </c>
      <c r="O1147">
        <f t="shared" si="35"/>
        <v>-6.0233385038921394E-4</v>
      </c>
    </row>
    <row r="1148" spans="7:15" x14ac:dyDescent="0.25">
      <c r="G1148" s="23">
        <v>42562</v>
      </c>
      <c r="H1148" s="22">
        <v>539.42759999999998</v>
      </c>
      <c r="I1148">
        <f t="shared" si="34"/>
        <v>-1.0046852594245426E-3</v>
      </c>
      <c r="J1148" s="23">
        <v>42562</v>
      </c>
      <c r="K1148" s="22">
        <v>938.64819999999997</v>
      </c>
      <c r="L1148">
        <f t="shared" si="34"/>
        <v>-1.515839404846453E-3</v>
      </c>
      <c r="M1148" s="23">
        <v>42529</v>
      </c>
      <c r="N1148" s="22">
        <v>1421.9659999999999</v>
      </c>
      <c r="O1148">
        <f t="shared" si="35"/>
        <v>1.687832555741231E-5</v>
      </c>
    </row>
    <row r="1149" spans="7:15" x14ac:dyDescent="0.25">
      <c r="G1149" s="23">
        <v>42563</v>
      </c>
      <c r="H1149" s="22">
        <v>527.00900000000001</v>
      </c>
      <c r="I1149">
        <f t="shared" si="34"/>
        <v>-2.3021810526565489E-2</v>
      </c>
      <c r="J1149" s="23">
        <v>42563</v>
      </c>
      <c r="K1149" s="22">
        <v>909.61009999999999</v>
      </c>
      <c r="L1149">
        <f t="shared" si="34"/>
        <v>-3.0936084467002689E-2</v>
      </c>
      <c r="M1149" s="23">
        <v>42530</v>
      </c>
      <c r="N1149" s="22">
        <v>1373.5050000000001</v>
      </c>
      <c r="O1149">
        <f t="shared" si="35"/>
        <v>-3.4080280400515806E-2</v>
      </c>
    </row>
    <row r="1150" spans="7:15" x14ac:dyDescent="0.25">
      <c r="G1150" s="23">
        <v>42564</v>
      </c>
      <c r="H1150" s="22">
        <v>526.68359999999996</v>
      </c>
      <c r="I1150">
        <f t="shared" si="34"/>
        <v>-6.1744676087138739E-4</v>
      </c>
      <c r="J1150" s="23">
        <v>42564</v>
      </c>
      <c r="K1150" s="22">
        <v>908.54399999999998</v>
      </c>
      <c r="L1150">
        <f t="shared" si="34"/>
        <v>-1.1720406358725066E-3</v>
      </c>
      <c r="M1150" s="23">
        <v>42531</v>
      </c>
      <c r="N1150" s="22">
        <v>1373.2840000000001</v>
      </c>
      <c r="O1150">
        <f t="shared" si="35"/>
        <v>-1.6090221731990262E-4</v>
      </c>
    </row>
    <row r="1151" spans="7:15" x14ac:dyDescent="0.25">
      <c r="G1151" s="23">
        <v>42565</v>
      </c>
      <c r="H1151" s="22">
        <v>526.16110000000003</v>
      </c>
      <c r="I1151">
        <f t="shared" si="34"/>
        <v>-9.920567110879297E-4</v>
      </c>
      <c r="J1151" s="23">
        <v>42565</v>
      </c>
      <c r="K1151" s="22">
        <v>889.18920000000003</v>
      </c>
      <c r="L1151">
        <f t="shared" si="34"/>
        <v>-2.1303095942519001E-2</v>
      </c>
      <c r="M1151" s="23">
        <v>42534</v>
      </c>
      <c r="N1151" s="22">
        <v>1373.223</v>
      </c>
      <c r="O1151">
        <f t="shared" si="35"/>
        <v>-4.4419071364765195E-5</v>
      </c>
    </row>
    <row r="1152" spans="7:15" x14ac:dyDescent="0.25">
      <c r="G1152" s="23">
        <v>42566</v>
      </c>
      <c r="H1152" s="22">
        <v>525.79560000000004</v>
      </c>
      <c r="I1152">
        <f t="shared" si="34"/>
        <v>-6.9465416580583028E-4</v>
      </c>
      <c r="J1152" s="23">
        <v>42566</v>
      </c>
      <c r="K1152" s="22">
        <v>888.95450000000005</v>
      </c>
      <c r="L1152">
        <f t="shared" si="34"/>
        <v>-2.6394832505838295E-4</v>
      </c>
      <c r="M1152" s="23">
        <v>42535</v>
      </c>
      <c r="N1152" s="22">
        <v>1373.24</v>
      </c>
      <c r="O1152">
        <f t="shared" si="35"/>
        <v>1.2379635354164975E-5</v>
      </c>
    </row>
    <row r="1153" spans="7:15" x14ac:dyDescent="0.25">
      <c r="G1153" s="23">
        <v>42569</v>
      </c>
      <c r="H1153" s="22">
        <v>525.78</v>
      </c>
      <c r="I1153">
        <f t="shared" si="34"/>
        <v>-2.9669323973191553E-5</v>
      </c>
      <c r="J1153" s="23">
        <v>42569</v>
      </c>
      <c r="K1153" s="22">
        <v>888.42560000000003</v>
      </c>
      <c r="L1153">
        <f t="shared" si="34"/>
        <v>-5.9496858388141671E-4</v>
      </c>
      <c r="M1153" s="23">
        <v>42536</v>
      </c>
      <c r="N1153" s="22">
        <v>1373.1659999999999</v>
      </c>
      <c r="O1153">
        <f t="shared" si="35"/>
        <v>-5.3887157379639561E-5</v>
      </c>
    </row>
    <row r="1154" spans="7:15" x14ac:dyDescent="0.25">
      <c r="G1154" s="23">
        <v>42570</v>
      </c>
      <c r="H1154" s="22">
        <v>523.84339999999997</v>
      </c>
      <c r="I1154">
        <f t="shared" si="34"/>
        <v>-3.683289588801375E-3</v>
      </c>
      <c r="J1154" s="23">
        <v>42570</v>
      </c>
      <c r="K1154" s="22">
        <v>884.74570000000006</v>
      </c>
      <c r="L1154">
        <f t="shared" si="34"/>
        <v>-4.1420463345495095E-3</v>
      </c>
      <c r="M1154" s="23">
        <v>42537</v>
      </c>
      <c r="N1154" s="22">
        <v>1373.1610000000001</v>
      </c>
      <c r="O1154">
        <f t="shared" si="35"/>
        <v>-3.6412203622271377E-6</v>
      </c>
    </row>
    <row r="1155" spans="7:15" x14ac:dyDescent="0.25">
      <c r="G1155" s="23">
        <v>42571</v>
      </c>
      <c r="H1155" s="22">
        <v>523.77959999999996</v>
      </c>
      <c r="I1155">
        <f t="shared" si="34"/>
        <v>-1.217921233712671E-4</v>
      </c>
      <c r="J1155" s="23">
        <v>42571</v>
      </c>
      <c r="K1155" s="22">
        <v>817.64160000000004</v>
      </c>
      <c r="L1155">
        <f t="shared" si="34"/>
        <v>-7.5845635644230858E-2</v>
      </c>
      <c r="M1155" s="23">
        <v>42538</v>
      </c>
      <c r="N1155" s="22">
        <v>1371.893</v>
      </c>
      <c r="O1155">
        <f t="shared" si="35"/>
        <v>-9.2341684624019926E-4</v>
      </c>
    </row>
    <row r="1156" spans="7:15" x14ac:dyDescent="0.25">
      <c r="G1156" s="23">
        <v>42572</v>
      </c>
      <c r="H1156" s="22">
        <v>515.94230000000005</v>
      </c>
      <c r="I1156">
        <f t="shared" ref="I1156:L1219" si="36">H1156/H1155-1</f>
        <v>-1.4962972975655964E-2</v>
      </c>
      <c r="J1156" s="23">
        <v>42572</v>
      </c>
      <c r="K1156" s="22">
        <v>809.63260000000002</v>
      </c>
      <c r="L1156">
        <f t="shared" si="36"/>
        <v>-9.7952452517092725E-3</v>
      </c>
      <c r="M1156" s="23">
        <v>42541</v>
      </c>
      <c r="N1156" s="22">
        <v>1371.951</v>
      </c>
      <c r="O1156">
        <f t="shared" ref="O1156:O1219" si="37">N1156/N1155-1</f>
        <v>4.2277349618258242E-5</v>
      </c>
    </row>
    <row r="1157" spans="7:15" x14ac:dyDescent="0.25">
      <c r="G1157" s="23">
        <v>42573</v>
      </c>
      <c r="H1157" s="22">
        <v>512.7826</v>
      </c>
      <c r="I1157">
        <f t="shared" si="36"/>
        <v>-6.1241344235586359E-3</v>
      </c>
      <c r="J1157" s="23">
        <v>42573</v>
      </c>
      <c r="K1157" s="22">
        <v>809.50369999999998</v>
      </c>
      <c r="L1157">
        <f t="shared" si="36"/>
        <v>-1.5920801608038104E-4</v>
      </c>
      <c r="M1157" s="23">
        <v>42542</v>
      </c>
      <c r="N1157" s="22">
        <v>1372.942</v>
      </c>
      <c r="O1157">
        <f t="shared" si="37"/>
        <v>7.2232900446156378E-4</v>
      </c>
    </row>
    <row r="1158" spans="7:15" x14ac:dyDescent="0.25">
      <c r="G1158" s="23">
        <v>42576</v>
      </c>
      <c r="H1158" s="22">
        <v>512.50819999999999</v>
      </c>
      <c r="I1158">
        <f t="shared" si="36"/>
        <v>-5.3511956138918571E-4</v>
      </c>
      <c r="J1158" s="23">
        <v>42576</v>
      </c>
      <c r="K1158" s="22">
        <v>808.53880000000004</v>
      </c>
      <c r="L1158">
        <f t="shared" si="36"/>
        <v>-1.1919649039281444E-3</v>
      </c>
      <c r="M1158" s="23">
        <v>42543</v>
      </c>
      <c r="N1158" s="22">
        <v>1372.971</v>
      </c>
      <c r="O1158">
        <f t="shared" si="37"/>
        <v>2.1122523748307032E-5</v>
      </c>
    </row>
    <row r="1159" spans="7:15" x14ac:dyDescent="0.25">
      <c r="G1159" s="23">
        <v>42577</v>
      </c>
      <c r="H1159" s="22">
        <v>512.27610000000004</v>
      </c>
      <c r="I1159">
        <f t="shared" si="36"/>
        <v>-4.5287080284750481E-4</v>
      </c>
      <c r="J1159" s="23">
        <v>42577</v>
      </c>
      <c r="K1159" s="22">
        <v>807.4991</v>
      </c>
      <c r="L1159">
        <f t="shared" si="36"/>
        <v>-1.2858999469166355E-3</v>
      </c>
      <c r="M1159" s="23">
        <v>42544</v>
      </c>
      <c r="N1159" s="22">
        <v>1373.0029999999999</v>
      </c>
      <c r="O1159">
        <f t="shared" si="37"/>
        <v>2.3307120106563772E-5</v>
      </c>
    </row>
    <row r="1160" spans="7:15" x14ac:dyDescent="0.25">
      <c r="G1160" s="23">
        <v>42578</v>
      </c>
      <c r="H1160" s="22">
        <v>510.6524</v>
      </c>
      <c r="I1160">
        <f t="shared" si="36"/>
        <v>-3.1695798418079901E-3</v>
      </c>
      <c r="J1160" s="23">
        <v>42578</v>
      </c>
      <c r="K1160" s="22">
        <v>806.17819999999995</v>
      </c>
      <c r="L1160">
        <f t="shared" si="36"/>
        <v>-1.635791296857203E-3</v>
      </c>
      <c r="M1160" s="23">
        <v>42545</v>
      </c>
      <c r="N1160" s="22">
        <v>1468.8040000000001</v>
      </c>
      <c r="O1160">
        <f t="shared" si="37"/>
        <v>6.9774792917422834E-2</v>
      </c>
    </row>
    <row r="1161" spans="7:15" x14ac:dyDescent="0.25">
      <c r="G1161" s="23">
        <v>42579</v>
      </c>
      <c r="H1161" s="22">
        <v>465.4896</v>
      </c>
      <c r="I1161">
        <f t="shared" si="36"/>
        <v>-8.8441374210715518E-2</v>
      </c>
      <c r="J1161" s="23">
        <v>42579</v>
      </c>
      <c r="K1161" s="22">
        <v>805.69069999999999</v>
      </c>
      <c r="L1161">
        <f t="shared" si="36"/>
        <v>-6.0470501435039292E-4</v>
      </c>
      <c r="M1161" s="23">
        <v>42548</v>
      </c>
      <c r="N1161" s="22">
        <v>1468.345</v>
      </c>
      <c r="O1161">
        <f t="shared" si="37"/>
        <v>-3.1249914896747111E-4</v>
      </c>
    </row>
    <row r="1162" spans="7:15" x14ac:dyDescent="0.25">
      <c r="G1162" s="23">
        <v>42580</v>
      </c>
      <c r="H1162" s="22">
        <v>465.34199999999998</v>
      </c>
      <c r="I1162">
        <f t="shared" si="36"/>
        <v>-3.1708549449871448E-4</v>
      </c>
      <c r="J1162" s="23">
        <v>42580</v>
      </c>
      <c r="K1162" s="22">
        <v>770.68380000000002</v>
      </c>
      <c r="L1162">
        <f t="shared" si="36"/>
        <v>-4.3449552042737927E-2</v>
      </c>
      <c r="M1162" s="23">
        <v>42549</v>
      </c>
      <c r="N1162" s="22">
        <v>1468.018</v>
      </c>
      <c r="O1162">
        <f t="shared" si="37"/>
        <v>-2.2269970613175705E-4</v>
      </c>
    </row>
    <row r="1163" spans="7:15" x14ac:dyDescent="0.25">
      <c r="G1163" s="23">
        <v>42583</v>
      </c>
      <c r="H1163" s="22">
        <v>465.18329999999997</v>
      </c>
      <c r="I1163">
        <f t="shared" si="36"/>
        <v>-3.4103949353381235E-4</v>
      </c>
      <c r="J1163" s="23">
        <v>42583</v>
      </c>
      <c r="K1163" s="22">
        <v>771.71900000000005</v>
      </c>
      <c r="L1163">
        <f t="shared" si="36"/>
        <v>1.3432227328511459E-3</v>
      </c>
      <c r="M1163" s="23">
        <v>42550</v>
      </c>
      <c r="N1163" s="22">
        <v>1468.3810000000001</v>
      </c>
      <c r="O1163">
        <f t="shared" si="37"/>
        <v>2.4727217241204968E-4</v>
      </c>
    </row>
    <row r="1164" spans="7:15" x14ac:dyDescent="0.25">
      <c r="G1164" s="23">
        <v>42584</v>
      </c>
      <c r="H1164" s="22">
        <v>465.18540000000002</v>
      </c>
      <c r="I1164">
        <f t="shared" si="36"/>
        <v>4.5143495048804994E-6</v>
      </c>
      <c r="J1164" s="23">
        <v>42584</v>
      </c>
      <c r="K1164" s="22">
        <v>774.11099999999999</v>
      </c>
      <c r="L1164">
        <f t="shared" si="36"/>
        <v>3.0995738086012636E-3</v>
      </c>
      <c r="M1164" s="23">
        <v>42551</v>
      </c>
      <c r="N1164" s="22">
        <v>1418.0889999999999</v>
      </c>
      <c r="O1164">
        <f t="shared" si="37"/>
        <v>-3.4249966459658721E-2</v>
      </c>
    </row>
    <row r="1165" spans="7:15" x14ac:dyDescent="0.25">
      <c r="G1165" s="23">
        <v>42585</v>
      </c>
      <c r="H1165" s="22">
        <v>464.80329999999998</v>
      </c>
      <c r="I1165">
        <f t="shared" si="36"/>
        <v>-8.2139293279637204E-4</v>
      </c>
      <c r="J1165" s="23">
        <v>42585</v>
      </c>
      <c r="K1165" s="22">
        <v>775.03430000000003</v>
      </c>
      <c r="L1165">
        <f t="shared" si="36"/>
        <v>1.1927230074240125E-3</v>
      </c>
      <c r="M1165" s="23">
        <v>42552</v>
      </c>
      <c r="N1165" s="22">
        <v>1417.664</v>
      </c>
      <c r="O1165">
        <f t="shared" si="37"/>
        <v>-2.9969910210148054E-4</v>
      </c>
    </row>
    <row r="1166" spans="7:15" x14ac:dyDescent="0.25">
      <c r="G1166" s="23">
        <v>42586</v>
      </c>
      <c r="H1166" s="22">
        <v>465.34160000000003</v>
      </c>
      <c r="I1166">
        <f t="shared" si="36"/>
        <v>1.1581243076372871E-3</v>
      </c>
      <c r="J1166" s="23">
        <v>42586</v>
      </c>
      <c r="K1166" s="22">
        <v>776.09799999999996</v>
      </c>
      <c r="L1166">
        <f t="shared" si="36"/>
        <v>1.3724553868130762E-3</v>
      </c>
      <c r="M1166" s="23">
        <v>42555</v>
      </c>
      <c r="N1166" s="22">
        <v>1417.664</v>
      </c>
      <c r="O1166">
        <f t="shared" si="37"/>
        <v>0</v>
      </c>
    </row>
    <row r="1167" spans="7:15" x14ac:dyDescent="0.25">
      <c r="G1167" s="23">
        <v>42587</v>
      </c>
      <c r="H1167" s="22">
        <v>465.08640000000003</v>
      </c>
      <c r="I1167">
        <f t="shared" si="36"/>
        <v>-5.4841432616381525E-4</v>
      </c>
      <c r="J1167" s="23">
        <v>42587</v>
      </c>
      <c r="K1167" s="22">
        <v>776.91079999999999</v>
      </c>
      <c r="L1167">
        <f t="shared" si="36"/>
        <v>1.0472904195089061E-3</v>
      </c>
      <c r="M1167" s="23">
        <v>42556</v>
      </c>
      <c r="N1167" s="22">
        <v>1417.6780000000001</v>
      </c>
      <c r="O1167">
        <f t="shared" si="37"/>
        <v>9.8754006592205457E-6</v>
      </c>
    </row>
    <row r="1168" spans="7:15" x14ac:dyDescent="0.25">
      <c r="G1168" s="23">
        <v>42590</v>
      </c>
      <c r="H1168" s="22">
        <v>465.09320000000002</v>
      </c>
      <c r="I1168">
        <f t="shared" si="36"/>
        <v>1.4620939249088138E-5</v>
      </c>
      <c r="J1168" s="23">
        <v>42590</v>
      </c>
      <c r="K1168" s="22">
        <v>777.14940000000001</v>
      </c>
      <c r="L1168">
        <f t="shared" si="36"/>
        <v>3.0711376389680467E-4</v>
      </c>
      <c r="M1168" s="23">
        <v>42557</v>
      </c>
      <c r="N1168" s="22">
        <v>1417.2760000000001</v>
      </c>
      <c r="O1168">
        <f t="shared" si="37"/>
        <v>-2.8356227577774895E-4</v>
      </c>
    </row>
    <row r="1169" spans="7:15" x14ac:dyDescent="0.25">
      <c r="G1169" s="23">
        <v>42591</v>
      </c>
      <c r="H1169" s="22">
        <v>465.29520000000002</v>
      </c>
      <c r="I1169">
        <f t="shared" si="36"/>
        <v>4.3432155103539927E-4</v>
      </c>
      <c r="J1169" s="23">
        <v>42591</v>
      </c>
      <c r="K1169" s="22">
        <v>777.12170000000003</v>
      </c>
      <c r="L1169">
        <f t="shared" si="36"/>
        <v>-3.5643082269665172E-5</v>
      </c>
      <c r="M1169" s="23">
        <v>42558</v>
      </c>
      <c r="N1169" s="22">
        <v>1417.393</v>
      </c>
      <c r="O1169">
        <f t="shared" si="37"/>
        <v>8.2552727908913326E-5</v>
      </c>
    </row>
    <row r="1170" spans="7:15" x14ac:dyDescent="0.25">
      <c r="G1170" s="23">
        <v>42592</v>
      </c>
      <c r="H1170" s="22">
        <v>465.10910000000001</v>
      </c>
      <c r="I1170">
        <f t="shared" si="36"/>
        <v>-3.9996114294760243E-4</v>
      </c>
      <c r="J1170" s="23">
        <v>42592</v>
      </c>
      <c r="K1170" s="22">
        <v>777.27930000000003</v>
      </c>
      <c r="L1170">
        <f t="shared" si="36"/>
        <v>2.027996387181652E-4</v>
      </c>
      <c r="M1170" s="23">
        <v>42559</v>
      </c>
      <c r="N1170" s="22">
        <v>1416.847</v>
      </c>
      <c r="O1170">
        <f t="shared" si="37"/>
        <v>-3.8521426308724127E-4</v>
      </c>
    </row>
    <row r="1171" spans="7:15" x14ac:dyDescent="0.25">
      <c r="G1171" s="23">
        <v>42593</v>
      </c>
      <c r="H1171" s="22">
        <v>464.07729999999998</v>
      </c>
      <c r="I1171">
        <f t="shared" si="36"/>
        <v>-2.2184042410695604E-3</v>
      </c>
      <c r="J1171" s="23">
        <v>42593</v>
      </c>
      <c r="K1171" s="22">
        <v>776.3741</v>
      </c>
      <c r="L1171">
        <f t="shared" si="36"/>
        <v>-1.1645749475124312E-3</v>
      </c>
      <c r="M1171" s="23">
        <v>42562</v>
      </c>
      <c r="N1171" s="22">
        <v>1416.143</v>
      </c>
      <c r="O1171">
        <f t="shared" si="37"/>
        <v>-4.9687792683328347E-4</v>
      </c>
    </row>
    <row r="1172" spans="7:15" x14ac:dyDescent="0.25">
      <c r="G1172" s="23">
        <v>42594</v>
      </c>
      <c r="H1172" s="22">
        <v>464.03339999999997</v>
      </c>
      <c r="I1172">
        <f t="shared" si="36"/>
        <v>-9.4596309709649162E-5</v>
      </c>
      <c r="J1172" s="23">
        <v>42594</v>
      </c>
      <c r="K1172" s="22">
        <v>776.49810000000002</v>
      </c>
      <c r="L1172">
        <f t="shared" si="36"/>
        <v>1.5971681693138784E-4</v>
      </c>
      <c r="M1172" s="23">
        <v>42563</v>
      </c>
      <c r="N1172" s="22">
        <v>1414.4480000000001</v>
      </c>
      <c r="O1172">
        <f t="shared" si="37"/>
        <v>-1.1969130236141323E-3</v>
      </c>
    </row>
    <row r="1173" spans="7:15" x14ac:dyDescent="0.25">
      <c r="G1173" s="23">
        <v>42597</v>
      </c>
      <c r="H1173" s="22">
        <v>464.04860000000002</v>
      </c>
      <c r="I1173">
        <f t="shared" si="36"/>
        <v>3.2756262803523839E-5</v>
      </c>
      <c r="J1173" s="23">
        <v>42597</v>
      </c>
      <c r="K1173" s="22">
        <v>776.54060000000004</v>
      </c>
      <c r="L1173">
        <f t="shared" si="36"/>
        <v>5.4732909198440538E-5</v>
      </c>
      <c r="M1173" s="23">
        <v>42564</v>
      </c>
      <c r="N1173" s="22">
        <v>1334.721</v>
      </c>
      <c r="O1173">
        <f t="shared" si="37"/>
        <v>-5.6366158388290066E-2</v>
      </c>
    </row>
    <row r="1174" spans="7:15" x14ac:dyDescent="0.25">
      <c r="G1174" s="23">
        <v>42598</v>
      </c>
      <c r="H1174" s="22">
        <v>463.86599999999999</v>
      </c>
      <c r="I1174">
        <f t="shared" si="36"/>
        <v>-3.9349326773108206E-4</v>
      </c>
      <c r="J1174" s="23">
        <v>42598</v>
      </c>
      <c r="K1174" s="22">
        <v>776.36490000000003</v>
      </c>
      <c r="L1174">
        <f t="shared" si="36"/>
        <v>-2.2625990192914891E-4</v>
      </c>
      <c r="M1174" s="23">
        <v>42565</v>
      </c>
      <c r="N1174" s="22">
        <v>1333.6120000000001</v>
      </c>
      <c r="O1174">
        <f t="shared" si="37"/>
        <v>-8.3088525616958897E-4</v>
      </c>
    </row>
    <row r="1175" spans="7:15" x14ac:dyDescent="0.25">
      <c r="G1175" s="23">
        <v>42599</v>
      </c>
      <c r="H1175" s="22">
        <v>463.85449999999997</v>
      </c>
      <c r="I1175">
        <f t="shared" si="36"/>
        <v>-2.4791642413979353E-5</v>
      </c>
      <c r="J1175" s="23">
        <v>42599</v>
      </c>
      <c r="K1175" s="22">
        <v>775.98230000000001</v>
      </c>
      <c r="L1175">
        <f t="shared" si="36"/>
        <v>-4.9280950233587806E-4</v>
      </c>
      <c r="M1175" s="23">
        <v>42566</v>
      </c>
      <c r="N1175" s="22">
        <v>1290.029</v>
      </c>
      <c r="O1175">
        <f t="shared" si="37"/>
        <v>-3.2680419792263438E-2</v>
      </c>
    </row>
    <row r="1176" spans="7:15" x14ac:dyDescent="0.25">
      <c r="G1176" s="23">
        <v>42600</v>
      </c>
      <c r="H1176" s="22">
        <v>463.7287</v>
      </c>
      <c r="I1176">
        <f t="shared" si="36"/>
        <v>-2.7120573369443512E-4</v>
      </c>
      <c r="J1176" s="23">
        <v>42600</v>
      </c>
      <c r="K1176" s="22">
        <v>776.14570000000003</v>
      </c>
      <c r="L1176">
        <f t="shared" si="36"/>
        <v>2.1057181330030872E-4</v>
      </c>
      <c r="M1176" s="23">
        <v>42569</v>
      </c>
      <c r="N1176" s="22">
        <v>1289.8</v>
      </c>
      <c r="O1176">
        <f t="shared" si="37"/>
        <v>-1.775153891889758E-4</v>
      </c>
    </row>
    <row r="1177" spans="7:15" x14ac:dyDescent="0.25">
      <c r="G1177" s="23">
        <v>42601</v>
      </c>
      <c r="H1177" s="22">
        <v>463.61009999999999</v>
      </c>
      <c r="I1177">
        <f t="shared" si="36"/>
        <v>-2.5575298660618362E-4</v>
      </c>
      <c r="J1177" s="23">
        <v>42601</v>
      </c>
      <c r="K1177" s="22">
        <v>776.15300000000002</v>
      </c>
      <c r="L1177">
        <f t="shared" si="36"/>
        <v>9.4054505488383455E-6</v>
      </c>
      <c r="M1177" s="23">
        <v>42570</v>
      </c>
      <c r="N1177" s="22">
        <v>1289.037</v>
      </c>
      <c r="O1177">
        <f t="shared" si="37"/>
        <v>-5.9156458365627884E-4</v>
      </c>
    </row>
    <row r="1178" spans="7:15" x14ac:dyDescent="0.25">
      <c r="G1178" s="23">
        <v>42604</v>
      </c>
      <c r="H1178" s="22">
        <v>463.68529999999998</v>
      </c>
      <c r="I1178">
        <f t="shared" si="36"/>
        <v>1.6220526688259795E-4</v>
      </c>
      <c r="J1178" s="23">
        <v>42604</v>
      </c>
      <c r="K1178" s="22">
        <v>776.34370000000001</v>
      </c>
      <c r="L1178">
        <f t="shared" si="36"/>
        <v>2.4569897945370123E-4</v>
      </c>
      <c r="M1178" s="23">
        <v>42571</v>
      </c>
      <c r="N1178" s="22">
        <v>1287.78</v>
      </c>
      <c r="O1178">
        <f t="shared" si="37"/>
        <v>-9.7514656289932056E-4</v>
      </c>
    </row>
    <row r="1179" spans="7:15" x14ac:dyDescent="0.25">
      <c r="G1179" s="23">
        <v>42605</v>
      </c>
      <c r="H1179" s="22">
        <v>463.75069999999999</v>
      </c>
      <c r="I1179">
        <f t="shared" si="36"/>
        <v>1.4104393648017854E-4</v>
      </c>
      <c r="J1179" s="23">
        <v>42605</v>
      </c>
      <c r="K1179" s="22">
        <v>776.45799999999997</v>
      </c>
      <c r="L1179">
        <f t="shared" si="36"/>
        <v>1.4722860506233282E-4</v>
      </c>
      <c r="M1179" s="23">
        <v>42572</v>
      </c>
      <c r="N1179" s="22">
        <v>1287.0360000000001</v>
      </c>
      <c r="O1179">
        <f t="shared" si="37"/>
        <v>-5.7773843358333021E-4</v>
      </c>
    </row>
    <row r="1180" spans="7:15" x14ac:dyDescent="0.25">
      <c r="G1180" s="23">
        <v>42606</v>
      </c>
      <c r="H1180" s="22">
        <v>463.85059999999999</v>
      </c>
      <c r="I1180">
        <f t="shared" si="36"/>
        <v>2.1541746459896594E-4</v>
      </c>
      <c r="J1180" s="23">
        <v>42606</v>
      </c>
      <c r="K1180" s="22">
        <v>776.42049999999995</v>
      </c>
      <c r="L1180">
        <f t="shared" si="36"/>
        <v>-4.8296237529887875E-5</v>
      </c>
      <c r="M1180" s="23">
        <v>42573</v>
      </c>
      <c r="N1180" s="22">
        <v>1287.0440000000001</v>
      </c>
      <c r="O1180">
        <f t="shared" si="37"/>
        <v>6.2158323466121601E-6</v>
      </c>
    </row>
    <row r="1181" spans="7:15" x14ac:dyDescent="0.25">
      <c r="G1181" s="23">
        <v>42607</v>
      </c>
      <c r="H1181" s="22">
        <v>463.87479999999999</v>
      </c>
      <c r="I1181">
        <f t="shared" si="36"/>
        <v>5.2171970889025587E-5</v>
      </c>
      <c r="J1181" s="23">
        <v>42607</v>
      </c>
      <c r="K1181" s="22">
        <v>775.67370000000005</v>
      </c>
      <c r="L1181">
        <f t="shared" si="36"/>
        <v>-9.6184992539471992E-4</v>
      </c>
      <c r="M1181" s="23">
        <v>42576</v>
      </c>
      <c r="N1181" s="22">
        <v>1286.4570000000001</v>
      </c>
      <c r="O1181">
        <f t="shared" si="37"/>
        <v>-4.5608386348872099E-4</v>
      </c>
    </row>
    <row r="1182" spans="7:15" x14ac:dyDescent="0.25">
      <c r="G1182" s="23">
        <v>42608</v>
      </c>
      <c r="H1182" s="22">
        <v>463.8954</v>
      </c>
      <c r="I1182">
        <f t="shared" si="36"/>
        <v>4.4408534371820352E-5</v>
      </c>
      <c r="J1182" s="23">
        <v>42608</v>
      </c>
      <c r="K1182" s="22">
        <v>775.94529999999997</v>
      </c>
      <c r="L1182">
        <f t="shared" si="36"/>
        <v>3.5014723330184516E-4</v>
      </c>
      <c r="M1182" s="23">
        <v>42577</v>
      </c>
      <c r="N1182" s="22">
        <v>1284.106</v>
      </c>
      <c r="O1182">
        <f t="shared" si="37"/>
        <v>-1.8274998697975775E-3</v>
      </c>
    </row>
    <row r="1183" spans="7:15" x14ac:dyDescent="0.25">
      <c r="G1183" s="23">
        <v>42611</v>
      </c>
      <c r="H1183" s="22">
        <v>463.88209999999998</v>
      </c>
      <c r="I1183">
        <f t="shared" si="36"/>
        <v>-2.8670256268958916E-5</v>
      </c>
      <c r="J1183" s="23">
        <v>42611</v>
      </c>
      <c r="K1183" s="22">
        <v>775.69709999999998</v>
      </c>
      <c r="L1183">
        <f t="shared" si="36"/>
        <v>-3.1986790821469935E-4</v>
      </c>
      <c r="M1183" s="23">
        <v>42578</v>
      </c>
      <c r="N1183" s="22">
        <v>1281.423</v>
      </c>
      <c r="O1183">
        <f t="shared" si="37"/>
        <v>-2.0893913742323633E-3</v>
      </c>
    </row>
    <row r="1184" spans="7:15" x14ac:dyDescent="0.25">
      <c r="G1184" s="23">
        <v>42612</v>
      </c>
      <c r="H1184" s="22">
        <v>463.59039999999999</v>
      </c>
      <c r="I1184">
        <f t="shared" si="36"/>
        <v>-6.2882357392102239E-4</v>
      </c>
      <c r="J1184" s="23">
        <v>42612</v>
      </c>
      <c r="K1184" s="22">
        <v>775.50030000000004</v>
      </c>
      <c r="L1184">
        <f t="shared" si="36"/>
        <v>-2.5370727826612427E-4</v>
      </c>
      <c r="M1184" s="23">
        <v>42579</v>
      </c>
      <c r="N1184" s="22">
        <v>1280.903</v>
      </c>
      <c r="O1184">
        <f t="shared" si="37"/>
        <v>-4.0579886579217295E-4</v>
      </c>
    </row>
    <row r="1185" spans="7:15" x14ac:dyDescent="0.25">
      <c r="G1185" s="23">
        <v>42613</v>
      </c>
      <c r="H1185" s="22">
        <v>463.1352</v>
      </c>
      <c r="I1185">
        <f t="shared" si="36"/>
        <v>-9.8190126456454419E-4</v>
      </c>
      <c r="J1185" s="23">
        <v>42613</v>
      </c>
      <c r="K1185" s="22">
        <v>775.05470000000003</v>
      </c>
      <c r="L1185">
        <f t="shared" si="36"/>
        <v>-5.7459681189031553E-4</v>
      </c>
      <c r="M1185" s="23">
        <v>42580</v>
      </c>
      <c r="N1185" s="22">
        <v>1276.3789999999999</v>
      </c>
      <c r="O1185">
        <f t="shared" si="37"/>
        <v>-3.5318833666562188E-3</v>
      </c>
    </row>
    <row r="1186" spans="7:15" x14ac:dyDescent="0.25">
      <c r="G1186" s="23">
        <v>42614</v>
      </c>
      <c r="H1186" s="22">
        <v>463.00979999999998</v>
      </c>
      <c r="I1186">
        <f t="shared" si="36"/>
        <v>-2.7076326740016476E-4</v>
      </c>
      <c r="J1186" s="23">
        <v>42614</v>
      </c>
      <c r="K1186" s="22">
        <v>774.78869999999995</v>
      </c>
      <c r="L1186">
        <f t="shared" si="36"/>
        <v>-3.4320158306255788E-4</v>
      </c>
      <c r="M1186" s="23">
        <v>42583</v>
      </c>
      <c r="N1186" s="22">
        <v>1276.059</v>
      </c>
      <c r="O1186">
        <f t="shared" si="37"/>
        <v>-2.507092329159244E-4</v>
      </c>
    </row>
    <row r="1187" spans="7:15" x14ac:dyDescent="0.25">
      <c r="G1187" s="23">
        <v>42615</v>
      </c>
      <c r="H1187" s="22">
        <v>462.76609999999999</v>
      </c>
      <c r="I1187">
        <f t="shared" si="36"/>
        <v>-5.2633875136121056E-4</v>
      </c>
      <c r="J1187" s="23">
        <v>42615</v>
      </c>
      <c r="K1187" s="22">
        <v>774.77719999999999</v>
      </c>
      <c r="L1187">
        <f t="shared" si="36"/>
        <v>-1.4842756483113284E-5</v>
      </c>
      <c r="M1187" s="23">
        <v>42584</v>
      </c>
      <c r="N1187" s="22">
        <v>1275.1030000000001</v>
      </c>
      <c r="O1187">
        <f t="shared" si="37"/>
        <v>-7.4918166009563247E-4</v>
      </c>
    </row>
    <row r="1188" spans="7:15" x14ac:dyDescent="0.25">
      <c r="G1188" s="23">
        <v>42618</v>
      </c>
      <c r="H1188" s="22">
        <v>462.76609999999999</v>
      </c>
      <c r="I1188">
        <f t="shared" si="36"/>
        <v>0</v>
      </c>
      <c r="J1188" s="23">
        <v>42618</v>
      </c>
      <c r="K1188" s="22">
        <v>774.77719999999999</v>
      </c>
      <c r="L1188">
        <f t="shared" si="36"/>
        <v>0</v>
      </c>
      <c r="M1188" s="23">
        <v>42585</v>
      </c>
      <c r="N1188" s="22">
        <v>1273.0239999999999</v>
      </c>
      <c r="O1188">
        <f t="shared" si="37"/>
        <v>-1.630456519983281E-3</v>
      </c>
    </row>
    <row r="1189" spans="7:15" x14ac:dyDescent="0.25">
      <c r="G1189" s="23">
        <v>42619</v>
      </c>
      <c r="H1189" s="22">
        <v>462.77820000000003</v>
      </c>
      <c r="I1189">
        <f t="shared" si="36"/>
        <v>2.6147118382446877E-5</v>
      </c>
      <c r="J1189" s="23">
        <v>42619</v>
      </c>
      <c r="K1189" s="22">
        <v>774.80799999999999</v>
      </c>
      <c r="L1189">
        <f t="shared" si="36"/>
        <v>3.9753363934913466E-5</v>
      </c>
      <c r="M1189" s="23">
        <v>42586</v>
      </c>
      <c r="N1189" s="22">
        <v>1266.7929999999999</v>
      </c>
      <c r="O1189">
        <f t="shared" si="37"/>
        <v>-4.8946445628675894E-3</v>
      </c>
    </row>
    <row r="1190" spans="7:15" x14ac:dyDescent="0.25">
      <c r="G1190" s="23">
        <v>42620</v>
      </c>
      <c r="H1190" s="22">
        <v>462.38310000000001</v>
      </c>
      <c r="I1190">
        <f t="shared" si="36"/>
        <v>-8.5375672406351466E-4</v>
      </c>
      <c r="J1190" s="23">
        <v>42620</v>
      </c>
      <c r="K1190" s="22">
        <v>773.94470000000001</v>
      </c>
      <c r="L1190">
        <f t="shared" si="36"/>
        <v>-1.1142115207896097E-3</v>
      </c>
      <c r="M1190" s="23">
        <v>42587</v>
      </c>
      <c r="N1190" s="22">
        <v>1266.3030000000001</v>
      </c>
      <c r="O1190">
        <f t="shared" si="37"/>
        <v>-3.8680352670072971E-4</v>
      </c>
    </row>
    <row r="1191" spans="7:15" x14ac:dyDescent="0.25">
      <c r="G1191" s="23">
        <v>42621</v>
      </c>
      <c r="H1191" s="22">
        <v>462.20460000000003</v>
      </c>
      <c r="I1191">
        <f t="shared" si="36"/>
        <v>-3.8604352105431339E-4</v>
      </c>
      <c r="J1191" s="23">
        <v>42621</v>
      </c>
      <c r="K1191" s="22">
        <v>773.97720000000004</v>
      </c>
      <c r="L1191">
        <f t="shared" si="36"/>
        <v>4.1992664333800889E-5</v>
      </c>
      <c r="M1191" s="23">
        <v>42590</v>
      </c>
      <c r="N1191" s="22">
        <v>1266.336</v>
      </c>
      <c r="O1191">
        <f t="shared" si="37"/>
        <v>2.6060113574644106E-5</v>
      </c>
    </row>
    <row r="1192" spans="7:15" x14ac:dyDescent="0.25">
      <c r="G1192" s="23">
        <v>42622</v>
      </c>
      <c r="H1192" s="22">
        <v>462.07690000000002</v>
      </c>
      <c r="I1192">
        <f t="shared" si="36"/>
        <v>-2.7628457181083643E-4</v>
      </c>
      <c r="J1192" s="23">
        <v>42622</v>
      </c>
      <c r="K1192" s="22">
        <v>773.74699999999996</v>
      </c>
      <c r="L1192">
        <f t="shared" si="36"/>
        <v>-2.9742478202210432E-4</v>
      </c>
      <c r="M1192" s="23">
        <v>42591</v>
      </c>
      <c r="N1192" s="22">
        <v>1264.2180000000001</v>
      </c>
      <c r="O1192">
        <f t="shared" si="37"/>
        <v>-1.6725418846182949E-3</v>
      </c>
    </row>
    <row r="1193" spans="7:15" x14ac:dyDescent="0.25">
      <c r="G1193" s="23">
        <v>42625</v>
      </c>
      <c r="H1193" s="22">
        <v>455.34129999999999</v>
      </c>
      <c r="I1193">
        <f t="shared" si="36"/>
        <v>-1.4576794468626364E-2</v>
      </c>
      <c r="J1193" s="23">
        <v>42625</v>
      </c>
      <c r="K1193" s="22">
        <v>760.07399999999996</v>
      </c>
      <c r="L1193">
        <f t="shared" si="36"/>
        <v>-1.7671150905916311E-2</v>
      </c>
      <c r="M1193" s="23">
        <v>42592</v>
      </c>
      <c r="N1193" s="22">
        <v>1175.8620000000001</v>
      </c>
      <c r="O1193">
        <f t="shared" si="37"/>
        <v>-6.9889844947627733E-2</v>
      </c>
    </row>
    <row r="1194" spans="7:15" x14ac:dyDescent="0.25">
      <c r="G1194" s="23">
        <v>42626</v>
      </c>
      <c r="H1194" s="22">
        <v>455.06810000000002</v>
      </c>
      <c r="I1194">
        <f t="shared" si="36"/>
        <v>-5.999895023798274E-4</v>
      </c>
      <c r="J1194" s="23">
        <v>42626</v>
      </c>
      <c r="K1194" s="22">
        <v>759.72479999999996</v>
      </c>
      <c r="L1194">
        <f t="shared" si="36"/>
        <v>-4.5942895033901365E-4</v>
      </c>
      <c r="M1194" s="23">
        <v>42593</v>
      </c>
      <c r="N1194" s="22">
        <v>1176.308</v>
      </c>
      <c r="O1194">
        <f t="shared" si="37"/>
        <v>3.7929620992938062E-4</v>
      </c>
    </row>
    <row r="1195" spans="7:15" x14ac:dyDescent="0.25">
      <c r="G1195" s="23">
        <v>42627</v>
      </c>
      <c r="H1195" s="22">
        <v>454.94889999999998</v>
      </c>
      <c r="I1195">
        <f t="shared" si="36"/>
        <v>-2.6193881750891101E-4</v>
      </c>
      <c r="J1195" s="23">
        <v>42627</v>
      </c>
      <c r="K1195" s="22">
        <v>759.91719999999998</v>
      </c>
      <c r="L1195">
        <f t="shared" si="36"/>
        <v>2.5324959774919442E-4</v>
      </c>
      <c r="M1195" s="23">
        <v>42594</v>
      </c>
      <c r="N1195" s="22">
        <v>1175.558</v>
      </c>
      <c r="O1195">
        <f t="shared" si="37"/>
        <v>-6.3758811467740095E-4</v>
      </c>
    </row>
    <row r="1196" spans="7:15" x14ac:dyDescent="0.25">
      <c r="G1196" s="23">
        <v>42628</v>
      </c>
      <c r="H1196" s="22">
        <v>454.6275</v>
      </c>
      <c r="I1196">
        <f t="shared" si="36"/>
        <v>-7.0645296647597888E-4</v>
      </c>
      <c r="J1196" s="23">
        <v>42628</v>
      </c>
      <c r="K1196" s="22">
        <v>760.3143</v>
      </c>
      <c r="L1196">
        <f t="shared" si="36"/>
        <v>5.2255693120262237E-4</v>
      </c>
      <c r="M1196" s="23">
        <v>42597</v>
      </c>
      <c r="N1196" s="22">
        <v>1175.4110000000001</v>
      </c>
      <c r="O1196">
        <f t="shared" si="37"/>
        <v>-1.2504699895699023E-4</v>
      </c>
    </row>
    <row r="1197" spans="7:15" x14ac:dyDescent="0.25">
      <c r="G1197" s="23">
        <v>42629</v>
      </c>
      <c r="H1197" s="22">
        <v>454.2149</v>
      </c>
      <c r="I1197">
        <f t="shared" si="36"/>
        <v>-9.0755618610838251E-4</v>
      </c>
      <c r="J1197" s="23">
        <v>42629</v>
      </c>
      <c r="K1197" s="22">
        <v>760.5059</v>
      </c>
      <c r="L1197">
        <f t="shared" si="36"/>
        <v>2.5200104746159191E-4</v>
      </c>
      <c r="M1197" s="23">
        <v>42598</v>
      </c>
      <c r="N1197" s="22">
        <v>1175.2370000000001</v>
      </c>
      <c r="O1197">
        <f t="shared" si="37"/>
        <v>-1.4803332621526888E-4</v>
      </c>
    </row>
    <row r="1198" spans="7:15" x14ac:dyDescent="0.25">
      <c r="G1198" s="23">
        <v>42632</v>
      </c>
      <c r="H1198" s="22">
        <v>454.10509999999999</v>
      </c>
      <c r="I1198">
        <f t="shared" si="36"/>
        <v>-2.4173579510489152E-4</v>
      </c>
      <c r="J1198" s="23">
        <v>42632</v>
      </c>
      <c r="K1198" s="22">
        <v>760.5163</v>
      </c>
      <c r="L1198">
        <f t="shared" si="36"/>
        <v>1.3675107582988844E-5</v>
      </c>
      <c r="M1198" s="23">
        <v>42599</v>
      </c>
      <c r="N1198" s="22">
        <v>1175.4549999999999</v>
      </c>
      <c r="O1198">
        <f t="shared" si="37"/>
        <v>1.8549450025817649E-4</v>
      </c>
    </row>
    <row r="1199" spans="7:15" x14ac:dyDescent="0.25">
      <c r="G1199" s="23">
        <v>42633</v>
      </c>
      <c r="H1199" s="22">
        <v>454.11759999999998</v>
      </c>
      <c r="I1199">
        <f t="shared" si="36"/>
        <v>2.7526667284671902E-5</v>
      </c>
      <c r="J1199" s="23">
        <v>42633</v>
      </c>
      <c r="K1199" s="22">
        <v>760.5924</v>
      </c>
      <c r="L1199">
        <f t="shared" si="36"/>
        <v>1.0006360152958749E-4</v>
      </c>
      <c r="M1199" s="23">
        <v>42600</v>
      </c>
      <c r="N1199" s="22">
        <v>1175.05</v>
      </c>
      <c r="O1199">
        <f t="shared" si="37"/>
        <v>-3.4454743056944181E-4</v>
      </c>
    </row>
    <row r="1200" spans="7:15" x14ac:dyDescent="0.25">
      <c r="G1200" s="23">
        <v>42634</v>
      </c>
      <c r="H1200" s="22">
        <v>454.02480000000003</v>
      </c>
      <c r="I1200">
        <f t="shared" si="36"/>
        <v>-2.0435235278248864E-4</v>
      </c>
      <c r="J1200" s="23">
        <v>42634</v>
      </c>
      <c r="K1200" s="22">
        <v>760.61749999999995</v>
      </c>
      <c r="L1200">
        <f t="shared" si="36"/>
        <v>3.3000592695842101E-5</v>
      </c>
      <c r="M1200" s="23">
        <v>42601</v>
      </c>
      <c r="N1200" s="22">
        <v>1175.2370000000001</v>
      </c>
      <c r="O1200">
        <f t="shared" si="37"/>
        <v>1.5914216416335059E-4</v>
      </c>
    </row>
    <row r="1201" spans="7:15" x14ac:dyDescent="0.25">
      <c r="G1201" s="23">
        <v>42635</v>
      </c>
      <c r="H1201" s="22">
        <v>454.01389999999998</v>
      </c>
      <c r="I1201">
        <f t="shared" si="36"/>
        <v>-2.4007499149880651E-5</v>
      </c>
      <c r="J1201" s="23">
        <v>42635</v>
      </c>
      <c r="K1201" s="22">
        <v>760.57100000000003</v>
      </c>
      <c r="L1201">
        <f t="shared" si="36"/>
        <v>-6.1134538713480957E-5</v>
      </c>
      <c r="M1201" s="23">
        <v>42604</v>
      </c>
      <c r="N1201" s="22">
        <v>1175.135</v>
      </c>
      <c r="O1201">
        <f t="shared" si="37"/>
        <v>-8.6791004708097752E-5</v>
      </c>
    </row>
    <row r="1202" spans="7:15" x14ac:dyDescent="0.25">
      <c r="G1202" s="23">
        <v>42636</v>
      </c>
      <c r="H1202" s="22">
        <v>454.01960000000003</v>
      </c>
      <c r="I1202">
        <f t="shared" si="36"/>
        <v>1.2554681696030912E-5</v>
      </c>
      <c r="J1202" s="23">
        <v>42636</v>
      </c>
      <c r="K1202" s="22">
        <v>760.40599999999995</v>
      </c>
      <c r="L1202">
        <f t="shared" si="36"/>
        <v>-2.1694227100443886E-4</v>
      </c>
      <c r="M1202" s="23">
        <v>42605</v>
      </c>
      <c r="N1202" s="22">
        <v>1174.9480000000001</v>
      </c>
      <c r="O1202">
        <f t="shared" si="37"/>
        <v>-1.5913065307382457E-4</v>
      </c>
    </row>
    <row r="1203" spans="7:15" x14ac:dyDescent="0.25">
      <c r="G1203" s="23">
        <v>42639</v>
      </c>
      <c r="H1203" s="22">
        <v>453.9864</v>
      </c>
      <c r="I1203">
        <f t="shared" si="36"/>
        <v>-7.3124596383089546E-5</v>
      </c>
      <c r="J1203" s="23">
        <v>42639</v>
      </c>
      <c r="K1203" s="22">
        <v>758.23019999999997</v>
      </c>
      <c r="L1203">
        <f t="shared" si="36"/>
        <v>-2.8613661649171673E-3</v>
      </c>
      <c r="M1203" s="23">
        <v>42606</v>
      </c>
      <c r="N1203" s="22">
        <v>1174.9680000000001</v>
      </c>
      <c r="O1203">
        <f t="shared" si="37"/>
        <v>1.7022029911162306E-5</v>
      </c>
    </row>
    <row r="1204" spans="7:15" x14ac:dyDescent="0.25">
      <c r="G1204" s="23">
        <v>42640</v>
      </c>
      <c r="H1204" s="22">
        <v>454.03480000000002</v>
      </c>
      <c r="I1204">
        <f t="shared" si="36"/>
        <v>1.0661112315268895E-4</v>
      </c>
      <c r="J1204" s="23">
        <v>42640</v>
      </c>
      <c r="K1204" s="22">
        <v>758.35299999999995</v>
      </c>
      <c r="L1204">
        <f t="shared" si="36"/>
        <v>1.6195609196256733E-4</v>
      </c>
      <c r="M1204" s="23">
        <v>42607</v>
      </c>
      <c r="N1204" s="22">
        <v>1174.962</v>
      </c>
      <c r="O1204">
        <f t="shared" si="37"/>
        <v>-5.1065220499912911E-6</v>
      </c>
    </row>
    <row r="1205" spans="7:15" x14ac:dyDescent="0.25">
      <c r="G1205" s="23">
        <v>42641</v>
      </c>
      <c r="H1205" s="22">
        <v>454.03870000000001</v>
      </c>
      <c r="I1205">
        <f t="shared" si="36"/>
        <v>8.5896499564253048E-6</v>
      </c>
      <c r="J1205" s="23">
        <v>42641</v>
      </c>
      <c r="K1205" s="22">
        <v>758.68060000000003</v>
      </c>
      <c r="L1205">
        <f t="shared" si="36"/>
        <v>4.3198879677408542E-4</v>
      </c>
      <c r="M1205" s="23">
        <v>42608</v>
      </c>
      <c r="N1205" s="22">
        <v>1175.095</v>
      </c>
      <c r="O1205">
        <f t="shared" si="37"/>
        <v>1.1319515014096559E-4</v>
      </c>
    </row>
    <row r="1206" spans="7:15" x14ac:dyDescent="0.25">
      <c r="G1206" s="23">
        <v>42642</v>
      </c>
      <c r="H1206" s="22">
        <v>453.08510000000001</v>
      </c>
      <c r="I1206">
        <f t="shared" si="36"/>
        <v>-2.1002614975331735E-3</v>
      </c>
      <c r="J1206" s="23">
        <v>42642</v>
      </c>
      <c r="K1206" s="22">
        <v>758.83270000000005</v>
      </c>
      <c r="L1206">
        <f t="shared" si="36"/>
        <v>2.0047962212288439E-4</v>
      </c>
      <c r="M1206" s="23">
        <v>42611</v>
      </c>
      <c r="N1206" s="22">
        <v>1175.0450000000001</v>
      </c>
      <c r="O1206">
        <f t="shared" si="37"/>
        <v>-4.254975129669436E-5</v>
      </c>
    </row>
    <row r="1207" spans="7:15" x14ac:dyDescent="0.25">
      <c r="G1207" s="23">
        <v>42643</v>
      </c>
      <c r="H1207" s="22">
        <v>452.05869999999999</v>
      </c>
      <c r="I1207">
        <f t="shared" si="36"/>
        <v>-2.2653580971875309E-3</v>
      </c>
      <c r="J1207" s="23">
        <v>42643</v>
      </c>
      <c r="K1207" s="22">
        <v>758.42439999999999</v>
      </c>
      <c r="L1207">
        <f t="shared" si="36"/>
        <v>-5.3806326480143607E-4</v>
      </c>
      <c r="M1207" s="23">
        <v>42612</v>
      </c>
      <c r="N1207" s="22">
        <v>1174.8810000000001</v>
      </c>
      <c r="O1207">
        <f t="shared" si="37"/>
        <v>-1.3956912288459744E-4</v>
      </c>
    </row>
    <row r="1208" spans="7:15" x14ac:dyDescent="0.25">
      <c r="G1208" s="23">
        <v>42646</v>
      </c>
      <c r="H1208" s="22">
        <v>452.05250000000001</v>
      </c>
      <c r="I1208">
        <f t="shared" si="36"/>
        <v>-1.3715033025496481E-5</v>
      </c>
      <c r="J1208" s="23">
        <v>42646</v>
      </c>
      <c r="K1208" s="22">
        <v>758.47540000000004</v>
      </c>
      <c r="L1208">
        <f t="shared" si="36"/>
        <v>6.7244671980493109E-5</v>
      </c>
      <c r="M1208" s="23">
        <v>42613</v>
      </c>
      <c r="N1208" s="22">
        <v>1174.3209999999999</v>
      </c>
      <c r="O1208">
        <f t="shared" si="37"/>
        <v>-4.7664401756453145E-4</v>
      </c>
    </row>
    <row r="1209" spans="7:15" x14ac:dyDescent="0.25">
      <c r="G1209" s="23">
        <v>42647</v>
      </c>
      <c r="H1209" s="22">
        <v>451.84350000000001</v>
      </c>
      <c r="I1209">
        <f t="shared" si="36"/>
        <v>-4.6233568003717362E-4</v>
      </c>
      <c r="J1209" s="23">
        <v>42647</v>
      </c>
      <c r="K1209" s="22">
        <v>758.40089999999998</v>
      </c>
      <c r="L1209">
        <f t="shared" si="36"/>
        <v>-9.8223357013371704E-5</v>
      </c>
      <c r="M1209" s="23">
        <v>42614</v>
      </c>
      <c r="N1209" s="22">
        <v>1173.442</v>
      </c>
      <c r="O1209">
        <f t="shared" si="37"/>
        <v>-7.4851765403149972E-4</v>
      </c>
    </row>
    <row r="1210" spans="7:15" x14ac:dyDescent="0.25">
      <c r="G1210" s="23">
        <v>42648</v>
      </c>
      <c r="H1210" s="22">
        <v>451.82490000000001</v>
      </c>
      <c r="I1210">
        <f t="shared" si="36"/>
        <v>-4.1164695298245846E-5</v>
      </c>
      <c r="J1210" s="23">
        <v>42648</v>
      </c>
      <c r="K1210" s="22">
        <v>758.60419999999999</v>
      </c>
      <c r="L1210">
        <f t="shared" si="36"/>
        <v>2.6806402787760142E-4</v>
      </c>
      <c r="M1210" s="23">
        <v>42615</v>
      </c>
      <c r="N1210" s="22">
        <v>1169.433</v>
      </c>
      <c r="O1210">
        <f t="shared" si="37"/>
        <v>-3.4164449542457564E-3</v>
      </c>
    </row>
    <row r="1211" spans="7:15" x14ac:dyDescent="0.25">
      <c r="G1211" s="23">
        <v>42649</v>
      </c>
      <c r="H1211" s="22">
        <v>451.68299999999999</v>
      </c>
      <c r="I1211">
        <f t="shared" si="36"/>
        <v>-3.1405971649645092E-4</v>
      </c>
      <c r="J1211" s="23">
        <v>42649</v>
      </c>
      <c r="K1211" s="22">
        <v>759.62149999999997</v>
      </c>
      <c r="L1211">
        <f t="shared" si="36"/>
        <v>1.3410155124371492E-3</v>
      </c>
      <c r="M1211" s="23">
        <v>42618</v>
      </c>
      <c r="N1211" s="22">
        <v>1169.433</v>
      </c>
      <c r="O1211">
        <f t="shared" si="37"/>
        <v>0</v>
      </c>
    </row>
    <row r="1212" spans="7:15" x14ac:dyDescent="0.25">
      <c r="G1212" s="23">
        <v>42650</v>
      </c>
      <c r="H1212" s="22">
        <v>451.5453</v>
      </c>
      <c r="I1212">
        <f t="shared" si="36"/>
        <v>-3.0485982425731972E-4</v>
      </c>
      <c r="J1212" s="23">
        <v>42650</v>
      </c>
      <c r="K1212" s="22">
        <v>759.8922</v>
      </c>
      <c r="L1212">
        <f t="shared" si="36"/>
        <v>3.5636168802488655E-4</v>
      </c>
      <c r="M1212" s="23">
        <v>42619</v>
      </c>
      <c r="N1212" s="22">
        <v>1169.374</v>
      </c>
      <c r="O1212">
        <f t="shared" si="37"/>
        <v>-5.0451800145845382E-5</v>
      </c>
    </row>
    <row r="1213" spans="7:15" x14ac:dyDescent="0.25">
      <c r="G1213" s="23">
        <v>42653</v>
      </c>
      <c r="H1213" s="22">
        <v>451.5453</v>
      </c>
      <c r="I1213">
        <f t="shared" si="36"/>
        <v>0</v>
      </c>
      <c r="J1213" s="23">
        <v>42653</v>
      </c>
      <c r="K1213" s="22">
        <v>759.8922</v>
      </c>
      <c r="L1213">
        <f t="shared" si="36"/>
        <v>0</v>
      </c>
      <c r="M1213" s="23">
        <v>42620</v>
      </c>
      <c r="N1213" s="22">
        <v>1167.5029999999999</v>
      </c>
      <c r="O1213">
        <f t="shared" si="37"/>
        <v>-1.6000013682535563E-3</v>
      </c>
    </row>
    <row r="1214" spans="7:15" x14ac:dyDescent="0.25">
      <c r="G1214" s="23">
        <v>42654</v>
      </c>
      <c r="H1214" s="22">
        <v>451.47149999999999</v>
      </c>
      <c r="I1214">
        <f t="shared" si="36"/>
        <v>-1.6343875132796004E-4</v>
      </c>
      <c r="J1214" s="23">
        <v>42654</v>
      </c>
      <c r="K1214" s="22">
        <v>759.91539999999998</v>
      </c>
      <c r="L1214">
        <f t="shared" si="36"/>
        <v>3.0530646320636734E-5</v>
      </c>
      <c r="M1214" s="23">
        <v>42621</v>
      </c>
      <c r="N1214" s="22">
        <v>1167.384</v>
      </c>
      <c r="O1214">
        <f t="shared" si="37"/>
        <v>-1.0192693294996946E-4</v>
      </c>
    </row>
    <row r="1215" spans="7:15" x14ac:dyDescent="0.25">
      <c r="G1215" s="23">
        <v>42655</v>
      </c>
      <c r="H1215" s="22">
        <v>451.50220000000002</v>
      </c>
      <c r="I1215">
        <f t="shared" si="36"/>
        <v>6.7999862671364042E-5</v>
      </c>
      <c r="J1215" s="23">
        <v>42655</v>
      </c>
      <c r="K1215" s="22">
        <v>760.16150000000005</v>
      </c>
      <c r="L1215">
        <f t="shared" si="36"/>
        <v>3.2385183929695138E-4</v>
      </c>
      <c r="M1215" s="23">
        <v>42622</v>
      </c>
      <c r="N1215" s="22">
        <v>1167.46</v>
      </c>
      <c r="O1215">
        <f t="shared" si="37"/>
        <v>6.5102828203933427E-5</v>
      </c>
    </row>
    <row r="1216" spans="7:15" x14ac:dyDescent="0.25">
      <c r="G1216" s="23">
        <v>42656</v>
      </c>
      <c r="H1216" s="22">
        <v>451.44060000000002</v>
      </c>
      <c r="I1216">
        <f t="shared" si="36"/>
        <v>-1.3643344373515109E-4</v>
      </c>
      <c r="J1216" s="23">
        <v>42656</v>
      </c>
      <c r="K1216" s="22">
        <v>759.91589999999997</v>
      </c>
      <c r="L1216">
        <f t="shared" si="36"/>
        <v>-3.2308923827384373E-4</v>
      </c>
      <c r="M1216" s="23">
        <v>42625</v>
      </c>
      <c r="N1216" s="22">
        <v>1146.721</v>
      </c>
      <c r="O1216">
        <f t="shared" si="37"/>
        <v>-1.7764206054168952E-2</v>
      </c>
    </row>
    <row r="1217" spans="7:15" x14ac:dyDescent="0.25">
      <c r="G1217" s="23">
        <v>42657</v>
      </c>
      <c r="H1217" s="22">
        <v>451.31790000000001</v>
      </c>
      <c r="I1217">
        <f t="shared" si="36"/>
        <v>-2.7179655529430136E-4</v>
      </c>
      <c r="J1217" s="23">
        <v>42657</v>
      </c>
      <c r="K1217" s="22">
        <v>759.6884</v>
      </c>
      <c r="L1217">
        <f t="shared" si="36"/>
        <v>-2.9937523349621298E-4</v>
      </c>
      <c r="M1217" s="23">
        <v>42626</v>
      </c>
      <c r="N1217" s="22">
        <v>1146.548</v>
      </c>
      <c r="O1217">
        <f t="shared" si="37"/>
        <v>-1.5086494448079968E-4</v>
      </c>
    </row>
    <row r="1218" spans="7:15" x14ac:dyDescent="0.25">
      <c r="G1218" s="23">
        <v>42660</v>
      </c>
      <c r="H1218" s="22">
        <v>451.29719999999998</v>
      </c>
      <c r="I1218">
        <f t="shared" si="36"/>
        <v>-4.5865674727307848E-5</v>
      </c>
      <c r="J1218" s="23">
        <v>42660</v>
      </c>
      <c r="K1218" s="22">
        <v>759.72029999999995</v>
      </c>
      <c r="L1218">
        <f t="shared" si="36"/>
        <v>4.1990900479627058E-5</v>
      </c>
      <c r="M1218" s="23">
        <v>42627</v>
      </c>
      <c r="N1218" s="22">
        <v>1145.6579999999999</v>
      </c>
      <c r="O1218">
        <f t="shared" si="37"/>
        <v>-7.7624312283486319E-4</v>
      </c>
    </row>
    <row r="1219" spans="7:15" x14ac:dyDescent="0.25">
      <c r="G1219" s="23">
        <v>42661</v>
      </c>
      <c r="H1219" s="22">
        <v>451.286</v>
      </c>
      <c r="I1219">
        <f t="shared" si="36"/>
        <v>-2.4817348744821111E-5</v>
      </c>
      <c r="J1219" s="23">
        <v>42661</v>
      </c>
      <c r="K1219" s="22">
        <v>759.67250000000001</v>
      </c>
      <c r="L1219">
        <f t="shared" si="36"/>
        <v>-6.2917892282077226E-5</v>
      </c>
      <c r="M1219" s="23">
        <v>42628</v>
      </c>
      <c r="N1219" s="22">
        <v>1145.26</v>
      </c>
      <c r="O1219">
        <f t="shared" si="37"/>
        <v>-3.4739861284949214E-4</v>
      </c>
    </row>
    <row r="1220" spans="7:15" x14ac:dyDescent="0.25">
      <c r="G1220" s="23">
        <v>42662</v>
      </c>
      <c r="H1220" s="22">
        <v>451.2937</v>
      </c>
      <c r="I1220">
        <f t="shared" ref="I1220:L1283" si="38">H1220/H1219-1</f>
        <v>1.7062350704533102E-5</v>
      </c>
      <c r="J1220" s="23">
        <v>42662</v>
      </c>
      <c r="K1220" s="22">
        <v>759.89700000000005</v>
      </c>
      <c r="L1220">
        <f t="shared" si="38"/>
        <v>2.9552208352945364E-4</v>
      </c>
      <c r="M1220" s="23">
        <v>42629</v>
      </c>
      <c r="N1220" s="22">
        <v>1145.298</v>
      </c>
      <c r="O1220">
        <f t="shared" ref="O1220:O1283" si="39">N1220/N1219-1</f>
        <v>3.318023854848029E-5</v>
      </c>
    </row>
    <row r="1221" spans="7:15" x14ac:dyDescent="0.25">
      <c r="G1221" s="23">
        <v>42663</v>
      </c>
      <c r="H1221" s="22">
        <v>451.18099999999998</v>
      </c>
      <c r="I1221">
        <f t="shared" si="38"/>
        <v>-2.4972650847998601E-4</v>
      </c>
      <c r="J1221" s="23">
        <v>42663</v>
      </c>
      <c r="K1221" s="22">
        <v>759.67139999999995</v>
      </c>
      <c r="L1221">
        <f t="shared" si="38"/>
        <v>-2.9688234063318664E-4</v>
      </c>
      <c r="M1221" s="23">
        <v>42632</v>
      </c>
      <c r="N1221" s="22">
        <v>1145.32</v>
      </c>
      <c r="O1221">
        <f t="shared" si="39"/>
        <v>1.9208974432860515E-5</v>
      </c>
    </row>
    <row r="1222" spans="7:15" x14ac:dyDescent="0.25">
      <c r="G1222" s="23">
        <v>42664</v>
      </c>
      <c r="H1222" s="22">
        <v>451.0256</v>
      </c>
      <c r="I1222">
        <f t="shared" si="38"/>
        <v>-3.4442939751444523E-4</v>
      </c>
      <c r="J1222" s="23">
        <v>42664</v>
      </c>
      <c r="K1222" s="22">
        <v>759.35749999999996</v>
      </c>
      <c r="L1222">
        <f t="shared" si="38"/>
        <v>-4.1320497257102407E-4</v>
      </c>
      <c r="M1222" s="23">
        <v>42633</v>
      </c>
      <c r="N1222" s="22">
        <v>1145.325</v>
      </c>
      <c r="O1222">
        <f t="shared" si="39"/>
        <v>4.3655921491136951E-6</v>
      </c>
    </row>
    <row r="1223" spans="7:15" x14ac:dyDescent="0.25">
      <c r="G1223" s="23">
        <v>42667</v>
      </c>
      <c r="H1223" s="22">
        <v>451.05079999999998</v>
      </c>
      <c r="I1223">
        <f t="shared" si="38"/>
        <v>5.5872659999733898E-5</v>
      </c>
      <c r="J1223" s="23">
        <v>42667</v>
      </c>
      <c r="K1223" s="22">
        <v>759.08789999999999</v>
      </c>
      <c r="L1223">
        <f t="shared" si="38"/>
        <v>-3.5503698850669618E-4</v>
      </c>
      <c r="M1223" s="23">
        <v>42634</v>
      </c>
      <c r="N1223" s="22">
        <v>1144.904</v>
      </c>
      <c r="O1223">
        <f t="shared" si="39"/>
        <v>-3.6758125422919896E-4</v>
      </c>
    </row>
    <row r="1224" spans="7:15" x14ac:dyDescent="0.25">
      <c r="G1224" s="23">
        <v>42668</v>
      </c>
      <c r="H1224" s="22">
        <v>451.00170000000003</v>
      </c>
      <c r="I1224">
        <f t="shared" si="38"/>
        <v>-1.0885691811202136E-4</v>
      </c>
      <c r="J1224" s="23">
        <v>42668</v>
      </c>
      <c r="K1224" s="22">
        <v>759.34879999999998</v>
      </c>
      <c r="L1224">
        <f t="shared" si="38"/>
        <v>3.4370196126176644E-4</v>
      </c>
      <c r="M1224" s="23">
        <v>42635</v>
      </c>
      <c r="N1224" s="22">
        <v>1144.9000000000001</v>
      </c>
      <c r="O1224">
        <f t="shared" si="39"/>
        <v>-3.4937427066950022E-6</v>
      </c>
    </row>
    <row r="1225" spans="7:15" x14ac:dyDescent="0.25">
      <c r="G1225" s="23">
        <v>42669</v>
      </c>
      <c r="H1225" s="22">
        <v>450.86540000000002</v>
      </c>
      <c r="I1225">
        <f t="shared" si="38"/>
        <v>-3.0221615572623151E-4</v>
      </c>
      <c r="J1225" s="23">
        <v>42669</v>
      </c>
      <c r="K1225" s="22">
        <v>759.54480000000001</v>
      </c>
      <c r="L1225">
        <f t="shared" si="38"/>
        <v>2.5811590141455731E-4</v>
      </c>
      <c r="M1225" s="23">
        <v>42636</v>
      </c>
      <c r="N1225" s="22">
        <v>1144.893</v>
      </c>
      <c r="O1225">
        <f t="shared" si="39"/>
        <v>-6.1140710979623591E-6</v>
      </c>
    </row>
    <row r="1226" spans="7:15" x14ac:dyDescent="0.25">
      <c r="G1226" s="23">
        <v>42670</v>
      </c>
      <c r="H1226" s="22">
        <v>450.77879999999999</v>
      </c>
      <c r="I1226">
        <f t="shared" si="38"/>
        <v>-1.920750627572021E-4</v>
      </c>
      <c r="J1226" s="23">
        <v>42670</v>
      </c>
      <c r="K1226" s="22">
        <v>759.58019999999999</v>
      </c>
      <c r="L1226">
        <f t="shared" si="38"/>
        <v>4.6606862426079587E-5</v>
      </c>
      <c r="M1226" s="23">
        <v>42639</v>
      </c>
      <c r="N1226" s="22">
        <v>1144.902</v>
      </c>
      <c r="O1226">
        <f t="shared" si="39"/>
        <v>7.8609966172038526E-6</v>
      </c>
    </row>
    <row r="1227" spans="7:15" x14ac:dyDescent="0.25">
      <c r="G1227" s="23">
        <v>42671</v>
      </c>
      <c r="H1227" s="22">
        <v>450.85210000000001</v>
      </c>
      <c r="I1227">
        <f t="shared" si="38"/>
        <v>1.626074695615376E-4</v>
      </c>
      <c r="J1227" s="23">
        <v>42671</v>
      </c>
      <c r="K1227" s="22">
        <v>759.33810000000005</v>
      </c>
      <c r="L1227">
        <f t="shared" si="38"/>
        <v>-3.1872868724058812E-4</v>
      </c>
      <c r="M1227" s="23">
        <v>42640</v>
      </c>
      <c r="N1227" s="22">
        <v>1144.896</v>
      </c>
      <c r="O1227">
        <f t="shared" si="39"/>
        <v>-5.2406232149415644E-6</v>
      </c>
    </row>
    <row r="1228" spans="7:15" x14ac:dyDescent="0.25">
      <c r="G1228" s="23">
        <v>42674</v>
      </c>
      <c r="H1228" s="22">
        <v>450.02629999999999</v>
      </c>
      <c r="I1228">
        <f t="shared" si="38"/>
        <v>-1.831642793723276E-3</v>
      </c>
      <c r="J1228" s="23">
        <v>42674</v>
      </c>
      <c r="K1228" s="22">
        <v>760.45759999999996</v>
      </c>
      <c r="L1228">
        <f t="shared" si="38"/>
        <v>1.4743103236882771E-3</v>
      </c>
      <c r="M1228" s="23">
        <v>42641</v>
      </c>
      <c r="N1228" s="22">
        <v>1139.6410000000001</v>
      </c>
      <c r="O1228">
        <f t="shared" si="39"/>
        <v>-4.5899365531889558E-3</v>
      </c>
    </row>
    <row r="1229" spans="7:15" x14ac:dyDescent="0.25">
      <c r="G1229" s="23">
        <v>42675</v>
      </c>
      <c r="H1229" s="22">
        <v>449.84249999999997</v>
      </c>
      <c r="I1229">
        <f t="shared" si="38"/>
        <v>-4.0842057453094327E-4</v>
      </c>
      <c r="J1229" s="23">
        <v>42675</v>
      </c>
      <c r="K1229" s="22">
        <v>760.42340000000002</v>
      </c>
      <c r="L1229">
        <f t="shared" si="38"/>
        <v>-4.4972921567132396E-5</v>
      </c>
      <c r="M1229" s="23">
        <v>42642</v>
      </c>
      <c r="N1229" s="22">
        <v>1138.942</v>
      </c>
      <c r="O1229">
        <f t="shared" si="39"/>
        <v>-6.1335104651383254E-4</v>
      </c>
    </row>
    <row r="1230" spans="7:15" x14ac:dyDescent="0.25">
      <c r="G1230" s="23">
        <v>42676</v>
      </c>
      <c r="H1230" s="22">
        <v>449.82389999999998</v>
      </c>
      <c r="I1230">
        <f t="shared" si="38"/>
        <v>-4.1347805065039545E-5</v>
      </c>
      <c r="J1230" s="23">
        <v>42676</v>
      </c>
      <c r="K1230" s="22">
        <v>759.68439999999998</v>
      </c>
      <c r="L1230">
        <f t="shared" si="38"/>
        <v>-9.7182701110987146E-4</v>
      </c>
      <c r="M1230" s="23">
        <v>42643</v>
      </c>
      <c r="N1230" s="22">
        <v>1138.3230000000001</v>
      </c>
      <c r="O1230">
        <f t="shared" si="39"/>
        <v>-5.4348685007654662E-4</v>
      </c>
    </row>
    <row r="1231" spans="7:15" x14ac:dyDescent="0.25">
      <c r="G1231" s="23">
        <v>42677</v>
      </c>
      <c r="H1231" s="22">
        <v>449.72829999999999</v>
      </c>
      <c r="I1231">
        <f t="shared" si="38"/>
        <v>-2.125276135839238E-4</v>
      </c>
      <c r="J1231" s="23">
        <v>42677</v>
      </c>
      <c r="K1231" s="22">
        <v>759.01670000000001</v>
      </c>
      <c r="L1231">
        <f t="shared" si="38"/>
        <v>-8.7891761368263932E-4</v>
      </c>
      <c r="M1231" s="23">
        <v>42646</v>
      </c>
      <c r="N1231" s="22">
        <v>1138.3489999999999</v>
      </c>
      <c r="O1231">
        <f t="shared" si="39"/>
        <v>2.284061729396214E-5</v>
      </c>
    </row>
    <row r="1232" spans="7:15" x14ac:dyDescent="0.25">
      <c r="G1232" s="23">
        <v>42678</v>
      </c>
      <c r="H1232" s="22">
        <v>449.78210000000001</v>
      </c>
      <c r="I1232">
        <f t="shared" si="38"/>
        <v>1.1962778415330888E-4</v>
      </c>
      <c r="J1232" s="23">
        <v>42678</v>
      </c>
      <c r="K1232" s="22">
        <v>758.77729999999997</v>
      </c>
      <c r="L1232">
        <f t="shared" si="38"/>
        <v>-3.1540807995400488E-4</v>
      </c>
      <c r="M1232" s="23">
        <v>42647</v>
      </c>
      <c r="N1232" s="22">
        <v>1138.4390000000001</v>
      </c>
      <c r="O1232">
        <f t="shared" si="39"/>
        <v>7.9061869426855225E-5</v>
      </c>
    </row>
    <row r="1233" spans="7:15" x14ac:dyDescent="0.25">
      <c r="G1233" s="23">
        <v>42681</v>
      </c>
      <c r="H1233" s="22">
        <v>449.66199999999998</v>
      </c>
      <c r="I1233">
        <f t="shared" si="38"/>
        <v>-2.6701818502794517E-4</v>
      </c>
      <c r="J1233" s="23">
        <v>42681</v>
      </c>
      <c r="K1233" s="22">
        <v>758.68050000000005</v>
      </c>
      <c r="L1233">
        <f t="shared" si="38"/>
        <v>-1.2757366357685207E-4</v>
      </c>
      <c r="M1233" s="23">
        <v>42648</v>
      </c>
      <c r="N1233" s="22">
        <v>1138.4880000000001</v>
      </c>
      <c r="O1233">
        <f t="shared" si="39"/>
        <v>4.3041392643772269E-5</v>
      </c>
    </row>
    <row r="1234" spans="7:15" x14ac:dyDescent="0.25">
      <c r="G1234" s="23">
        <v>42682</v>
      </c>
      <c r="H1234" s="22">
        <v>449.63549999999998</v>
      </c>
      <c r="I1234">
        <f t="shared" si="38"/>
        <v>-5.8933154235885077E-5</v>
      </c>
      <c r="J1234" s="23">
        <v>42682</v>
      </c>
      <c r="K1234" s="22">
        <v>758.71460000000002</v>
      </c>
      <c r="L1234">
        <f t="shared" si="38"/>
        <v>4.4946456380534627E-5</v>
      </c>
      <c r="M1234" s="23">
        <v>42649</v>
      </c>
      <c r="N1234" s="22">
        <v>1137.521</v>
      </c>
      <c r="O1234">
        <f t="shared" si="39"/>
        <v>-8.4937214972846675E-4</v>
      </c>
    </row>
    <row r="1235" spans="7:15" x14ac:dyDescent="0.25">
      <c r="G1235" s="23">
        <v>42683</v>
      </c>
      <c r="H1235" s="22">
        <v>449.65260000000001</v>
      </c>
      <c r="I1235">
        <f t="shared" si="38"/>
        <v>3.8030804952127184E-5</v>
      </c>
      <c r="J1235" s="23">
        <v>42683</v>
      </c>
      <c r="K1235" s="22">
        <v>758.73680000000002</v>
      </c>
      <c r="L1235">
        <f t="shared" si="38"/>
        <v>2.9260014239973486E-5</v>
      </c>
      <c r="M1235" s="23">
        <v>42650</v>
      </c>
      <c r="N1235" s="22">
        <v>1137.357</v>
      </c>
      <c r="O1235">
        <f t="shared" si="39"/>
        <v>-1.4417316251746914E-4</v>
      </c>
    </row>
    <row r="1236" spans="7:15" x14ac:dyDescent="0.25">
      <c r="G1236" s="23">
        <v>42684</v>
      </c>
      <c r="H1236" s="22">
        <v>449.68220000000002</v>
      </c>
      <c r="I1236">
        <f t="shared" si="38"/>
        <v>6.582859745507541E-5</v>
      </c>
      <c r="J1236" s="23">
        <v>42684</v>
      </c>
      <c r="K1236" s="22">
        <v>758.74210000000005</v>
      </c>
      <c r="L1236">
        <f t="shared" si="38"/>
        <v>6.9852945052684134E-6</v>
      </c>
      <c r="M1236" s="23">
        <v>42653</v>
      </c>
      <c r="N1236" s="22">
        <v>1137.357</v>
      </c>
      <c r="O1236">
        <f t="shared" si="39"/>
        <v>0</v>
      </c>
    </row>
    <row r="1237" spans="7:15" x14ac:dyDescent="0.25">
      <c r="G1237" s="23">
        <v>42685</v>
      </c>
      <c r="H1237" s="22">
        <v>449.68220000000002</v>
      </c>
      <c r="I1237">
        <f t="shared" si="38"/>
        <v>0</v>
      </c>
      <c r="J1237" s="23">
        <v>42685</v>
      </c>
      <c r="K1237" s="22">
        <v>758.74210000000005</v>
      </c>
      <c r="L1237">
        <f t="shared" si="38"/>
        <v>0</v>
      </c>
      <c r="M1237" s="23">
        <v>42654</v>
      </c>
      <c r="N1237" s="22">
        <v>1137.4090000000001</v>
      </c>
      <c r="O1237">
        <f t="shared" si="39"/>
        <v>4.5720033375662439E-5</v>
      </c>
    </row>
    <row r="1238" spans="7:15" x14ac:dyDescent="0.25">
      <c r="G1238" s="23">
        <v>42688</v>
      </c>
      <c r="H1238" s="22">
        <v>449.63080000000002</v>
      </c>
      <c r="I1238">
        <f t="shared" si="38"/>
        <v>-1.1430294550240916E-4</v>
      </c>
      <c r="J1238" s="23">
        <v>42688</v>
      </c>
      <c r="K1238" s="22">
        <v>758.4742</v>
      </c>
      <c r="L1238">
        <f t="shared" si="38"/>
        <v>-3.5308440114245609E-4</v>
      </c>
      <c r="M1238" s="23">
        <v>42655</v>
      </c>
      <c r="N1238" s="22">
        <v>1137.251</v>
      </c>
      <c r="O1238">
        <f t="shared" si="39"/>
        <v>-1.389122118781172E-4</v>
      </c>
    </row>
    <row r="1239" spans="7:15" x14ac:dyDescent="0.25">
      <c r="G1239" s="23">
        <v>42689</v>
      </c>
      <c r="H1239" s="22">
        <v>449.74369999999999</v>
      </c>
      <c r="I1239">
        <f t="shared" si="38"/>
        <v>2.5109489830321685E-4</v>
      </c>
      <c r="J1239" s="23">
        <v>42689</v>
      </c>
      <c r="K1239" s="22">
        <v>758.81970000000001</v>
      </c>
      <c r="L1239">
        <f t="shared" si="38"/>
        <v>4.5551977905122776E-4</v>
      </c>
      <c r="M1239" s="23">
        <v>42656</v>
      </c>
      <c r="N1239" s="22">
        <v>1136.4469999999999</v>
      </c>
      <c r="O1239">
        <f t="shared" si="39"/>
        <v>-7.0696794287283815E-4</v>
      </c>
    </row>
    <row r="1240" spans="7:15" x14ac:dyDescent="0.25">
      <c r="G1240" s="23">
        <v>42690</v>
      </c>
      <c r="H1240" s="22">
        <v>449.70060000000001</v>
      </c>
      <c r="I1240">
        <f t="shared" si="38"/>
        <v>-9.5832359630620978E-5</v>
      </c>
      <c r="J1240" s="23">
        <v>42690</v>
      </c>
      <c r="K1240" s="22">
        <v>758.83429999999998</v>
      </c>
      <c r="L1240">
        <f t="shared" si="38"/>
        <v>1.9240407174381247E-5</v>
      </c>
      <c r="M1240" s="23">
        <v>42657</v>
      </c>
      <c r="N1240" s="22">
        <v>1136.3019999999999</v>
      </c>
      <c r="O1240">
        <f t="shared" si="39"/>
        <v>-1.2759063995060327E-4</v>
      </c>
    </row>
    <row r="1241" spans="7:15" x14ac:dyDescent="0.25">
      <c r="G1241" s="23">
        <v>42691</v>
      </c>
      <c r="H1241" s="22">
        <v>449.5206</v>
      </c>
      <c r="I1241">
        <f t="shared" si="38"/>
        <v>-4.0026631051859329E-4</v>
      </c>
      <c r="J1241" s="23">
        <v>42691</v>
      </c>
      <c r="K1241" s="22">
        <v>758.73209999999995</v>
      </c>
      <c r="L1241">
        <f t="shared" si="38"/>
        <v>-1.3468025891827384E-4</v>
      </c>
      <c r="M1241" s="23">
        <v>42660</v>
      </c>
      <c r="N1241" s="22">
        <v>1136.163</v>
      </c>
      <c r="O1241">
        <f t="shared" si="39"/>
        <v>-1.2232663499656127E-4</v>
      </c>
    </row>
    <row r="1242" spans="7:15" x14ac:dyDescent="0.25">
      <c r="G1242" s="23">
        <v>42692</v>
      </c>
      <c r="H1242" s="22">
        <v>449.40300000000002</v>
      </c>
      <c r="I1242">
        <f t="shared" si="38"/>
        <v>-2.6161203735708405E-4</v>
      </c>
      <c r="J1242" s="23">
        <v>42692</v>
      </c>
      <c r="K1242" s="22">
        <v>758.69240000000002</v>
      </c>
      <c r="L1242">
        <f t="shared" si="38"/>
        <v>-5.232413390698909E-5</v>
      </c>
      <c r="M1242" s="23">
        <v>42661</v>
      </c>
      <c r="N1242" s="22">
        <v>1135.9760000000001</v>
      </c>
      <c r="O1242">
        <f t="shared" si="39"/>
        <v>-1.6458905984428895E-4</v>
      </c>
    </row>
    <row r="1243" spans="7:15" x14ac:dyDescent="0.25">
      <c r="G1243" s="23">
        <v>42695</v>
      </c>
      <c r="H1243" s="22">
        <v>449.23349999999999</v>
      </c>
      <c r="I1243">
        <f t="shared" si="38"/>
        <v>-3.7716704160861703E-4</v>
      </c>
      <c r="J1243" s="23">
        <v>42695</v>
      </c>
      <c r="K1243" s="22">
        <v>758.56489999999997</v>
      </c>
      <c r="L1243">
        <f t="shared" si="38"/>
        <v>-1.6805229629301977E-4</v>
      </c>
      <c r="M1243" s="23">
        <v>42662</v>
      </c>
      <c r="N1243" s="22">
        <v>1136.165</v>
      </c>
      <c r="O1243">
        <f t="shared" si="39"/>
        <v>1.6637675443842426E-4</v>
      </c>
    </row>
    <row r="1244" spans="7:15" x14ac:dyDescent="0.25">
      <c r="G1244" s="23">
        <v>42696</v>
      </c>
      <c r="H1244" s="22">
        <v>449.24579999999997</v>
      </c>
      <c r="I1244">
        <f t="shared" si="38"/>
        <v>2.7379970549690213E-5</v>
      </c>
      <c r="J1244" s="23">
        <v>42696</v>
      </c>
      <c r="K1244" s="22">
        <v>758.77629999999999</v>
      </c>
      <c r="L1244">
        <f t="shared" si="38"/>
        <v>2.786841310480348E-4</v>
      </c>
      <c r="M1244" s="23">
        <v>42663</v>
      </c>
      <c r="N1244" s="22">
        <v>1135.874</v>
      </c>
      <c r="O1244">
        <f t="shared" si="39"/>
        <v>-2.5612477060987793E-4</v>
      </c>
    </row>
    <row r="1245" spans="7:15" x14ac:dyDescent="0.25">
      <c r="G1245" s="23">
        <v>42697</v>
      </c>
      <c r="H1245" s="22">
        <v>449.15699999999998</v>
      </c>
      <c r="I1245">
        <f t="shared" si="38"/>
        <v>-1.9766461923520495E-4</v>
      </c>
      <c r="J1245" s="23">
        <v>42697</v>
      </c>
      <c r="K1245" s="22">
        <v>758.78710000000001</v>
      </c>
      <c r="L1245">
        <f t="shared" si="38"/>
        <v>1.4233444033617815E-5</v>
      </c>
      <c r="M1245" s="23">
        <v>42664</v>
      </c>
      <c r="N1245" s="22">
        <v>1135.5429999999999</v>
      </c>
      <c r="O1245">
        <f t="shared" si="39"/>
        <v>-2.9140556082818403E-4</v>
      </c>
    </row>
    <row r="1246" spans="7:15" x14ac:dyDescent="0.25">
      <c r="G1246" s="23">
        <v>42698</v>
      </c>
      <c r="H1246" s="22">
        <v>449.15699999999998</v>
      </c>
      <c r="I1246">
        <f t="shared" si="38"/>
        <v>0</v>
      </c>
      <c r="J1246" s="23">
        <v>42698</v>
      </c>
      <c r="K1246" s="22">
        <v>758.78710000000001</v>
      </c>
      <c r="L1246">
        <f t="shared" si="38"/>
        <v>0</v>
      </c>
      <c r="M1246" s="23">
        <v>42667</v>
      </c>
      <c r="N1246" s="22">
        <v>1135.595</v>
      </c>
      <c r="O1246">
        <f t="shared" si="39"/>
        <v>4.5793069923583118E-5</v>
      </c>
    </row>
    <row r="1247" spans="7:15" x14ac:dyDescent="0.25">
      <c r="G1247" s="23">
        <v>42699</v>
      </c>
      <c r="H1247" s="22">
        <v>449.16250000000002</v>
      </c>
      <c r="I1247">
        <f t="shared" si="38"/>
        <v>1.224516149145316E-5</v>
      </c>
      <c r="J1247" s="23">
        <v>42699</v>
      </c>
      <c r="K1247" s="22">
        <v>758.94439999999997</v>
      </c>
      <c r="L1247">
        <f t="shared" si="38"/>
        <v>2.0730452586770198E-4</v>
      </c>
      <c r="M1247" s="23">
        <v>42668</v>
      </c>
      <c r="N1247" s="22">
        <v>1135.5820000000001</v>
      </c>
      <c r="O1247">
        <f t="shared" si="39"/>
        <v>-1.1447743253456544E-5</v>
      </c>
    </row>
    <row r="1248" spans="7:15" x14ac:dyDescent="0.25">
      <c r="G1248" s="23">
        <v>42702</v>
      </c>
      <c r="H1248" s="22">
        <v>449.1343</v>
      </c>
      <c r="I1248">
        <f t="shared" si="38"/>
        <v>-6.2783513761766052E-5</v>
      </c>
      <c r="J1248" s="23">
        <v>42702</v>
      </c>
      <c r="K1248" s="22">
        <v>759.08579999999995</v>
      </c>
      <c r="L1248">
        <f t="shared" si="38"/>
        <v>1.8631140831915083E-4</v>
      </c>
      <c r="M1248" s="23">
        <v>42669</v>
      </c>
      <c r="N1248" s="22">
        <v>1135.4079999999999</v>
      </c>
      <c r="O1248">
        <f t="shared" si="39"/>
        <v>-1.5322539455553397E-4</v>
      </c>
    </row>
    <row r="1249" spans="7:15" x14ac:dyDescent="0.25">
      <c r="G1249" s="23">
        <v>42703</v>
      </c>
      <c r="H1249" s="22">
        <v>438.2919</v>
      </c>
      <c r="I1249">
        <f t="shared" si="38"/>
        <v>-2.4140663494193193E-2</v>
      </c>
      <c r="J1249" s="23">
        <v>42703</v>
      </c>
      <c r="K1249" s="22">
        <v>756.09550000000002</v>
      </c>
      <c r="L1249">
        <f t="shared" si="38"/>
        <v>-3.9393438791767155E-3</v>
      </c>
      <c r="M1249" s="23">
        <v>42670</v>
      </c>
      <c r="N1249" s="22">
        <v>1135.5450000000001</v>
      </c>
      <c r="O1249">
        <f t="shared" si="39"/>
        <v>1.2066147147127282E-4</v>
      </c>
    </row>
    <row r="1250" spans="7:15" x14ac:dyDescent="0.25">
      <c r="G1250" s="23">
        <v>42704</v>
      </c>
      <c r="H1250" s="22">
        <v>437.57060000000001</v>
      </c>
      <c r="I1250">
        <f t="shared" si="38"/>
        <v>-1.6457068907730354E-3</v>
      </c>
      <c r="J1250" s="23">
        <v>42704</v>
      </c>
      <c r="K1250" s="22">
        <v>756.17520000000002</v>
      </c>
      <c r="L1250">
        <f t="shared" si="38"/>
        <v>1.0540996474661668E-4</v>
      </c>
      <c r="M1250" s="23">
        <v>42671</v>
      </c>
      <c r="N1250" s="22">
        <v>1134.981</v>
      </c>
      <c r="O1250">
        <f t="shared" si="39"/>
        <v>-4.9667780669204742E-4</v>
      </c>
    </row>
    <row r="1251" spans="7:15" x14ac:dyDescent="0.25">
      <c r="G1251" s="23">
        <v>42705</v>
      </c>
      <c r="H1251" s="22">
        <v>437.71480000000003</v>
      </c>
      <c r="I1251">
        <f t="shared" si="38"/>
        <v>3.2954682055885698E-4</v>
      </c>
      <c r="J1251" s="23">
        <v>42705</v>
      </c>
      <c r="K1251" s="22">
        <v>756.40520000000004</v>
      </c>
      <c r="L1251">
        <f t="shared" si="38"/>
        <v>3.0416231582308662E-4</v>
      </c>
      <c r="M1251" s="23">
        <v>42674</v>
      </c>
      <c r="N1251" s="22">
        <v>1135.5530000000001</v>
      </c>
      <c r="O1251">
        <f t="shared" si="39"/>
        <v>5.039731942650949E-4</v>
      </c>
    </row>
    <row r="1252" spans="7:15" x14ac:dyDescent="0.25">
      <c r="G1252" s="23">
        <v>42706</v>
      </c>
      <c r="H1252" s="22">
        <v>437.60910000000001</v>
      </c>
      <c r="I1252">
        <f t="shared" si="38"/>
        <v>-2.4148143951274736E-4</v>
      </c>
      <c r="J1252" s="23">
        <v>42706</v>
      </c>
      <c r="K1252" s="22">
        <v>755.99419999999998</v>
      </c>
      <c r="L1252">
        <f t="shared" si="38"/>
        <v>-5.4335956442397304E-4</v>
      </c>
      <c r="M1252" s="23">
        <v>42675</v>
      </c>
      <c r="N1252" s="22">
        <v>1135.077</v>
      </c>
      <c r="O1252">
        <f t="shared" si="39"/>
        <v>-4.1917902554977626E-4</v>
      </c>
    </row>
    <row r="1253" spans="7:15" x14ac:dyDescent="0.25">
      <c r="G1253" s="23">
        <v>42709</v>
      </c>
      <c r="H1253" s="22">
        <v>437.60309999999998</v>
      </c>
      <c r="I1253">
        <f t="shared" si="38"/>
        <v>-1.3710866615945783E-5</v>
      </c>
      <c r="J1253" s="23">
        <v>42709</v>
      </c>
      <c r="K1253" s="22">
        <v>755.4384</v>
      </c>
      <c r="L1253">
        <f t="shared" si="38"/>
        <v>-7.3519082553807902E-4</v>
      </c>
      <c r="M1253" s="23">
        <v>42676</v>
      </c>
      <c r="N1253" s="22">
        <v>1111.999</v>
      </c>
      <c r="O1253">
        <f t="shared" si="39"/>
        <v>-2.0331660319079625E-2</v>
      </c>
    </row>
    <row r="1254" spans="7:15" x14ac:dyDescent="0.25">
      <c r="G1254" s="23">
        <v>42710</v>
      </c>
      <c r="H1254" s="22">
        <v>437.61489999999998</v>
      </c>
      <c r="I1254">
        <f t="shared" si="38"/>
        <v>2.6965074059193128E-5</v>
      </c>
      <c r="J1254" s="23">
        <v>42710</v>
      </c>
      <c r="K1254" s="22">
        <v>755.327</v>
      </c>
      <c r="L1254">
        <f t="shared" si="38"/>
        <v>-1.4746404207144348E-4</v>
      </c>
      <c r="M1254" s="23">
        <v>42677</v>
      </c>
      <c r="N1254" s="22">
        <v>1107.721</v>
      </c>
      <c r="O1254">
        <f t="shared" si="39"/>
        <v>-3.8471257618037935E-3</v>
      </c>
    </row>
    <row r="1255" spans="7:15" x14ac:dyDescent="0.25">
      <c r="G1255" s="23">
        <v>42711</v>
      </c>
      <c r="H1255" s="22">
        <v>437.67939999999999</v>
      </c>
      <c r="I1255">
        <f t="shared" si="38"/>
        <v>1.4738986263962417E-4</v>
      </c>
      <c r="J1255" s="23">
        <v>42711</v>
      </c>
      <c r="K1255" s="22">
        <v>755.25710000000004</v>
      </c>
      <c r="L1255">
        <f t="shared" si="38"/>
        <v>-9.2542700049103033E-5</v>
      </c>
      <c r="M1255" s="23">
        <v>42678</v>
      </c>
      <c r="N1255" s="22">
        <v>1107.4870000000001</v>
      </c>
      <c r="O1255">
        <f t="shared" si="39"/>
        <v>-2.1124452817988804E-4</v>
      </c>
    </row>
    <row r="1256" spans="7:15" x14ac:dyDescent="0.25">
      <c r="G1256" s="23">
        <v>42712</v>
      </c>
      <c r="H1256" s="22">
        <v>437.71190000000001</v>
      </c>
      <c r="I1256">
        <f t="shared" si="38"/>
        <v>7.4255265383849078E-5</v>
      </c>
      <c r="J1256" s="23">
        <v>42712</v>
      </c>
      <c r="K1256" s="22">
        <v>754.33699999999999</v>
      </c>
      <c r="L1256">
        <f t="shared" si="38"/>
        <v>-1.2182606426341946E-3</v>
      </c>
      <c r="M1256" s="23">
        <v>42681</v>
      </c>
      <c r="N1256" s="22">
        <v>1107.126</v>
      </c>
      <c r="O1256">
        <f t="shared" si="39"/>
        <v>-3.2596319415045816E-4</v>
      </c>
    </row>
    <row r="1257" spans="7:15" x14ac:dyDescent="0.25">
      <c r="G1257" s="23">
        <v>42713</v>
      </c>
      <c r="H1257" s="22">
        <v>437.762</v>
      </c>
      <c r="I1257">
        <f t="shared" si="38"/>
        <v>1.1445884838856557E-4</v>
      </c>
      <c r="J1257" s="23">
        <v>42713</v>
      </c>
      <c r="K1257" s="22">
        <v>752.54420000000005</v>
      </c>
      <c r="L1257">
        <f t="shared" si="38"/>
        <v>-2.3766565871751189E-3</v>
      </c>
      <c r="M1257" s="23">
        <v>42682</v>
      </c>
      <c r="N1257" s="22">
        <v>1107.175</v>
      </c>
      <c r="O1257">
        <f t="shared" si="39"/>
        <v>4.4258738391089736E-5</v>
      </c>
    </row>
    <row r="1258" spans="7:15" x14ac:dyDescent="0.25">
      <c r="G1258" s="23">
        <v>42716</v>
      </c>
      <c r="H1258" s="22">
        <v>437.76889999999997</v>
      </c>
      <c r="I1258">
        <f t="shared" si="38"/>
        <v>1.5761989391460673E-5</v>
      </c>
      <c r="J1258" s="23">
        <v>42716</v>
      </c>
      <c r="K1258" s="22">
        <v>752.49540000000002</v>
      </c>
      <c r="L1258">
        <f t="shared" si="38"/>
        <v>-6.4846689403763591E-5</v>
      </c>
      <c r="M1258" s="23">
        <v>42683</v>
      </c>
      <c r="N1258" s="22">
        <v>1107.1669999999999</v>
      </c>
      <c r="O1258">
        <f t="shared" si="39"/>
        <v>-7.2255966762080348E-6</v>
      </c>
    </row>
    <row r="1259" spans="7:15" x14ac:dyDescent="0.25">
      <c r="G1259" s="23">
        <v>42717</v>
      </c>
      <c r="H1259" s="22">
        <v>437.75979999999998</v>
      </c>
      <c r="I1259">
        <f t="shared" si="38"/>
        <v>-2.0787223578455638E-5</v>
      </c>
      <c r="J1259" s="23">
        <v>42717</v>
      </c>
      <c r="K1259" s="22">
        <v>752.28020000000004</v>
      </c>
      <c r="L1259">
        <f t="shared" si="38"/>
        <v>-2.8598181463967975E-4</v>
      </c>
      <c r="M1259" s="23">
        <v>42684</v>
      </c>
      <c r="N1259" s="22">
        <v>1107.2149999999999</v>
      </c>
      <c r="O1259">
        <f t="shared" si="39"/>
        <v>4.3353893315112302E-5</v>
      </c>
    </row>
    <row r="1260" spans="7:15" x14ac:dyDescent="0.25">
      <c r="G1260" s="23">
        <v>42718</v>
      </c>
      <c r="H1260" s="22">
        <v>437.82080000000002</v>
      </c>
      <c r="I1260">
        <f t="shared" si="38"/>
        <v>1.3934582389718564E-4</v>
      </c>
      <c r="J1260" s="23">
        <v>42718</v>
      </c>
      <c r="K1260" s="22">
        <v>752.024</v>
      </c>
      <c r="L1260">
        <f t="shared" si="38"/>
        <v>-3.4056459282061358E-4</v>
      </c>
      <c r="M1260" s="23">
        <v>42685</v>
      </c>
      <c r="N1260" s="22">
        <v>1107.2149999999999</v>
      </c>
      <c r="O1260">
        <f t="shared" si="39"/>
        <v>0</v>
      </c>
    </row>
    <row r="1261" spans="7:15" x14ac:dyDescent="0.25">
      <c r="G1261" s="23">
        <v>42719</v>
      </c>
      <c r="H1261" s="22">
        <v>437.8184</v>
      </c>
      <c r="I1261">
        <f t="shared" si="38"/>
        <v>-5.4816947938629568E-6</v>
      </c>
      <c r="J1261" s="23">
        <v>42719</v>
      </c>
      <c r="K1261" s="22">
        <v>751.39620000000002</v>
      </c>
      <c r="L1261">
        <f t="shared" si="38"/>
        <v>-8.3481378253880134E-4</v>
      </c>
      <c r="M1261" s="23">
        <v>42688</v>
      </c>
      <c r="N1261" s="22">
        <v>1098.2159999999999</v>
      </c>
      <c r="O1261">
        <f t="shared" si="39"/>
        <v>-8.1275994273921626E-3</v>
      </c>
    </row>
    <row r="1262" spans="7:15" x14ac:dyDescent="0.25">
      <c r="G1262" s="23">
        <v>42720</v>
      </c>
      <c r="H1262" s="22">
        <v>437.79809999999998</v>
      </c>
      <c r="I1262">
        <f t="shared" si="38"/>
        <v>-4.6366255963659064E-5</v>
      </c>
      <c r="J1262" s="23">
        <v>42720</v>
      </c>
      <c r="K1262" s="22">
        <v>751.27329999999995</v>
      </c>
      <c r="L1262">
        <f t="shared" si="38"/>
        <v>-1.6356217931379202E-4</v>
      </c>
      <c r="M1262" s="23">
        <v>42689</v>
      </c>
      <c r="N1262" s="22">
        <v>1099.9559999999999</v>
      </c>
      <c r="O1262">
        <f t="shared" si="39"/>
        <v>1.5843877707117926E-3</v>
      </c>
    </row>
    <row r="1263" spans="7:15" x14ac:dyDescent="0.25">
      <c r="G1263" s="23">
        <v>42723</v>
      </c>
      <c r="H1263" s="22">
        <v>437.8372</v>
      </c>
      <c r="I1263">
        <f t="shared" si="38"/>
        <v>8.931057489736105E-5</v>
      </c>
      <c r="J1263" s="23">
        <v>42723</v>
      </c>
      <c r="K1263" s="22">
        <v>749.91369999999995</v>
      </c>
      <c r="L1263">
        <f t="shared" si="38"/>
        <v>-1.8097275651883793E-3</v>
      </c>
      <c r="M1263" s="23">
        <v>42690</v>
      </c>
      <c r="N1263" s="22">
        <v>1079.9829999999999</v>
      </c>
      <c r="O1263">
        <f t="shared" si="39"/>
        <v>-1.8157999047234585E-2</v>
      </c>
    </row>
    <row r="1264" spans="7:15" x14ac:dyDescent="0.25">
      <c r="G1264" s="23">
        <v>42724</v>
      </c>
      <c r="H1264" s="22">
        <v>437.79520000000002</v>
      </c>
      <c r="I1264">
        <f t="shared" si="38"/>
        <v>-9.5926065669993399E-5</v>
      </c>
      <c r="J1264" s="23">
        <v>42724</v>
      </c>
      <c r="K1264" s="22">
        <v>749.73379999999997</v>
      </c>
      <c r="L1264">
        <f t="shared" si="38"/>
        <v>-2.3989427050064016E-4</v>
      </c>
      <c r="M1264" s="23">
        <v>42691</v>
      </c>
      <c r="N1264" s="22">
        <v>1080.009</v>
      </c>
      <c r="O1264">
        <f t="shared" si="39"/>
        <v>2.4074453023770204E-5</v>
      </c>
    </row>
    <row r="1265" spans="7:15" x14ac:dyDescent="0.25">
      <c r="G1265" s="23">
        <v>42725</v>
      </c>
      <c r="H1265" s="22">
        <v>437.86340000000001</v>
      </c>
      <c r="I1265">
        <f t="shared" si="38"/>
        <v>1.5578060243681691E-4</v>
      </c>
      <c r="J1265" s="23">
        <v>42725</v>
      </c>
      <c r="K1265" s="22">
        <v>721.88490000000002</v>
      </c>
      <c r="L1265">
        <f t="shared" si="38"/>
        <v>-3.7145050683322522E-2</v>
      </c>
      <c r="M1265" s="23">
        <v>42692</v>
      </c>
      <c r="N1265" s="22">
        <v>1079.5070000000001</v>
      </c>
      <c r="O1265">
        <f t="shared" si="39"/>
        <v>-4.6481094139028123E-4</v>
      </c>
    </row>
    <row r="1266" spans="7:15" x14ac:dyDescent="0.25">
      <c r="G1266" s="23">
        <v>42726</v>
      </c>
      <c r="H1266" s="22">
        <v>437.81810000000002</v>
      </c>
      <c r="I1266">
        <f t="shared" si="38"/>
        <v>-1.0345692286684027E-4</v>
      </c>
      <c r="J1266" s="23">
        <v>42726</v>
      </c>
      <c r="K1266" s="22">
        <v>722.75130000000001</v>
      </c>
      <c r="L1266">
        <f t="shared" si="38"/>
        <v>1.2001913324408697E-3</v>
      </c>
      <c r="M1266" s="23">
        <v>42695</v>
      </c>
      <c r="N1266" s="22">
        <v>1079.5709999999999</v>
      </c>
      <c r="O1266">
        <f t="shared" si="39"/>
        <v>5.9286322367402278E-5</v>
      </c>
    </row>
    <row r="1267" spans="7:15" x14ac:dyDescent="0.25">
      <c r="G1267" s="23">
        <v>42727</v>
      </c>
      <c r="H1267" s="22">
        <v>437.78660000000002</v>
      </c>
      <c r="I1267">
        <f t="shared" si="38"/>
        <v>-7.1947687864004628E-5</v>
      </c>
      <c r="J1267" s="23">
        <v>42727</v>
      </c>
      <c r="K1267" s="22">
        <v>722.69989999999996</v>
      </c>
      <c r="L1267">
        <f t="shared" si="38"/>
        <v>-7.1117132546261175E-5</v>
      </c>
      <c r="M1267" s="23">
        <v>42696</v>
      </c>
      <c r="N1267" s="22">
        <v>1080.3340000000001</v>
      </c>
      <c r="O1267">
        <f t="shared" si="39"/>
        <v>7.0676222314247639E-4</v>
      </c>
    </row>
    <row r="1268" spans="7:15" x14ac:dyDescent="0.25">
      <c r="G1268" s="23">
        <v>42730</v>
      </c>
      <c r="H1268" s="22">
        <v>437.78660000000002</v>
      </c>
      <c r="I1268">
        <f t="shared" si="38"/>
        <v>0</v>
      </c>
      <c r="J1268" s="23">
        <v>42730</v>
      </c>
      <c r="K1268" s="22">
        <v>722.69989999999996</v>
      </c>
      <c r="L1268">
        <f t="shared" si="38"/>
        <v>0</v>
      </c>
      <c r="M1268" s="23">
        <v>42697</v>
      </c>
      <c r="N1268" s="22">
        <v>1080.3720000000001</v>
      </c>
      <c r="O1268">
        <f t="shared" si="39"/>
        <v>3.5174307204899335E-5</v>
      </c>
    </row>
    <row r="1269" spans="7:15" x14ac:dyDescent="0.25">
      <c r="G1269" s="23">
        <v>42731</v>
      </c>
      <c r="H1269" s="22">
        <v>437.88389999999998</v>
      </c>
      <c r="I1269">
        <f t="shared" si="38"/>
        <v>2.2225440431467014E-4</v>
      </c>
      <c r="J1269" s="23">
        <v>42731</v>
      </c>
      <c r="K1269" s="22">
        <v>722.78909999999996</v>
      </c>
      <c r="L1269">
        <f t="shared" si="38"/>
        <v>1.2342605831272557E-4</v>
      </c>
      <c r="M1269" s="23">
        <v>42698</v>
      </c>
      <c r="N1269" s="22">
        <v>1080.3720000000001</v>
      </c>
      <c r="O1269">
        <f t="shared" si="39"/>
        <v>0</v>
      </c>
    </row>
    <row r="1270" spans="7:15" x14ac:dyDescent="0.25">
      <c r="G1270" s="23">
        <v>42732</v>
      </c>
      <c r="H1270" s="22">
        <v>437.74439999999998</v>
      </c>
      <c r="I1270">
        <f t="shared" si="38"/>
        <v>-3.1857759556808141E-4</v>
      </c>
      <c r="J1270" s="23">
        <v>42732</v>
      </c>
      <c r="K1270" s="22">
        <v>722.79219999999998</v>
      </c>
      <c r="L1270">
        <f t="shared" si="38"/>
        <v>4.2889412692481699E-6</v>
      </c>
      <c r="M1270" s="23">
        <v>42699</v>
      </c>
      <c r="N1270" s="22">
        <v>1080.325</v>
      </c>
      <c r="O1270">
        <f t="shared" si="39"/>
        <v>-4.3503533967981234E-5</v>
      </c>
    </row>
    <row r="1271" spans="7:15" x14ac:dyDescent="0.25">
      <c r="G1271" s="23">
        <v>42733</v>
      </c>
      <c r="H1271" s="22">
        <v>436.15199999999999</v>
      </c>
      <c r="I1271">
        <f t="shared" si="38"/>
        <v>-3.6377392834722189E-3</v>
      </c>
      <c r="J1271" s="23">
        <v>42733</v>
      </c>
      <c r="K1271" s="22">
        <v>722.18529999999998</v>
      </c>
      <c r="L1271">
        <f t="shared" si="38"/>
        <v>-8.3966041692207227E-4</v>
      </c>
      <c r="M1271" s="23">
        <v>42702</v>
      </c>
      <c r="N1271" s="22">
        <v>1079.1969999999999</v>
      </c>
      <c r="O1271">
        <f t="shared" si="39"/>
        <v>-1.0441302385857387E-3</v>
      </c>
    </row>
    <row r="1272" spans="7:15" x14ac:dyDescent="0.25">
      <c r="G1272" s="23">
        <v>42734</v>
      </c>
      <c r="H1272" s="22">
        <v>435.93340000000001</v>
      </c>
      <c r="I1272">
        <f t="shared" si="38"/>
        <v>-5.0120141602005841E-4</v>
      </c>
      <c r="J1272" s="23">
        <v>42734</v>
      </c>
      <c r="K1272" s="22">
        <v>725.39880000000005</v>
      </c>
      <c r="L1272">
        <f t="shared" si="38"/>
        <v>4.4496890202556649E-3</v>
      </c>
      <c r="M1272" s="23">
        <v>42703</v>
      </c>
      <c r="N1272" s="22">
        <v>1076.557</v>
      </c>
      <c r="O1272">
        <f t="shared" si="39"/>
        <v>-2.4462632864989953E-3</v>
      </c>
    </row>
    <row r="1273" spans="7:15" x14ac:dyDescent="0.25">
      <c r="G1273" s="23">
        <v>42737</v>
      </c>
      <c r="H1273" s="22">
        <v>435.93340000000001</v>
      </c>
      <c r="I1273">
        <f t="shared" si="38"/>
        <v>0</v>
      </c>
      <c r="J1273" s="23">
        <v>42737</v>
      </c>
      <c r="K1273" s="22">
        <v>725.39880000000005</v>
      </c>
      <c r="L1273">
        <f t="shared" si="38"/>
        <v>0</v>
      </c>
      <c r="M1273" s="23">
        <v>42704</v>
      </c>
      <c r="N1273" s="22">
        <v>1076.027</v>
      </c>
      <c r="O1273">
        <f t="shared" si="39"/>
        <v>-4.9231020744833209E-4</v>
      </c>
    </row>
    <row r="1274" spans="7:15" x14ac:dyDescent="0.25">
      <c r="G1274" s="23">
        <v>42738</v>
      </c>
      <c r="H1274" s="22">
        <v>435.83120000000002</v>
      </c>
      <c r="I1274">
        <f t="shared" si="38"/>
        <v>-2.3443948089318933E-4</v>
      </c>
      <c r="J1274" s="23">
        <v>42738</v>
      </c>
      <c r="K1274" s="22">
        <v>725.17460000000005</v>
      </c>
      <c r="L1274">
        <f t="shared" si="38"/>
        <v>-3.0907136874225305E-4</v>
      </c>
      <c r="M1274" s="23">
        <v>42705</v>
      </c>
      <c r="N1274" s="22">
        <v>1077.1220000000001</v>
      </c>
      <c r="O1274">
        <f t="shared" si="39"/>
        <v>1.0176324571782303E-3</v>
      </c>
    </row>
    <row r="1275" spans="7:15" x14ac:dyDescent="0.25">
      <c r="G1275" s="23">
        <v>42739</v>
      </c>
      <c r="H1275" s="22">
        <v>435.31380000000001</v>
      </c>
      <c r="I1275">
        <f t="shared" si="38"/>
        <v>-1.1871568625652085E-3</v>
      </c>
      <c r="J1275" s="23">
        <v>42739</v>
      </c>
      <c r="K1275" s="22">
        <v>723.70069999999998</v>
      </c>
      <c r="L1275">
        <f t="shared" si="38"/>
        <v>-2.0324760409424769E-3</v>
      </c>
      <c r="M1275" s="23">
        <v>42706</v>
      </c>
      <c r="N1275" s="22">
        <v>1076.0319999999999</v>
      </c>
      <c r="O1275">
        <f t="shared" si="39"/>
        <v>-1.0119559344253792E-3</v>
      </c>
    </row>
    <row r="1276" spans="7:15" x14ac:dyDescent="0.25">
      <c r="G1276" s="23">
        <v>42740</v>
      </c>
      <c r="H1276" s="22">
        <v>435.19709999999998</v>
      </c>
      <c r="I1276">
        <f t="shared" si="38"/>
        <v>-2.6808247291965071E-4</v>
      </c>
      <c r="J1276" s="23">
        <v>42740</v>
      </c>
      <c r="K1276" s="22">
        <v>721.16120000000001</v>
      </c>
      <c r="L1276">
        <f t="shared" si="38"/>
        <v>-3.5090473174891335E-3</v>
      </c>
      <c r="M1276" s="23">
        <v>42709</v>
      </c>
      <c r="N1276" s="22">
        <v>1076.079</v>
      </c>
      <c r="O1276">
        <f t="shared" si="39"/>
        <v>4.3678998394192092E-5</v>
      </c>
    </row>
    <row r="1277" spans="7:15" x14ac:dyDescent="0.25">
      <c r="G1277" s="23">
        <v>42741</v>
      </c>
      <c r="H1277" s="22">
        <v>434.19110000000001</v>
      </c>
      <c r="I1277">
        <f t="shared" si="38"/>
        <v>-2.3115962859127093E-3</v>
      </c>
      <c r="J1277" s="23">
        <v>42741</v>
      </c>
      <c r="K1277" s="22">
        <v>718.79650000000004</v>
      </c>
      <c r="L1277">
        <f t="shared" si="38"/>
        <v>-3.2790172294349107E-3</v>
      </c>
      <c r="M1277" s="23">
        <v>42710</v>
      </c>
      <c r="N1277" s="22">
        <v>1074.1759999999999</v>
      </c>
      <c r="O1277">
        <f t="shared" si="39"/>
        <v>-1.7684575203121833E-3</v>
      </c>
    </row>
    <row r="1278" spans="7:15" x14ac:dyDescent="0.25">
      <c r="G1278" s="23">
        <v>42744</v>
      </c>
      <c r="H1278" s="22">
        <v>434.02809999999999</v>
      </c>
      <c r="I1278">
        <f t="shared" si="38"/>
        <v>-3.7541073504276934E-4</v>
      </c>
      <c r="J1278" s="23">
        <v>42744</v>
      </c>
      <c r="K1278" s="22">
        <v>690.11260000000004</v>
      </c>
      <c r="L1278">
        <f t="shared" si="38"/>
        <v>-3.9905453073296848E-2</v>
      </c>
      <c r="M1278" s="23">
        <v>42711</v>
      </c>
      <c r="N1278" s="22">
        <v>1071.8140000000001</v>
      </c>
      <c r="O1278">
        <f t="shared" si="39"/>
        <v>-2.1988947807434212E-3</v>
      </c>
    </row>
    <row r="1279" spans="7:15" x14ac:dyDescent="0.25">
      <c r="G1279" s="23">
        <v>42745</v>
      </c>
      <c r="H1279" s="22">
        <v>433.80889999999999</v>
      </c>
      <c r="I1279">
        <f t="shared" si="38"/>
        <v>-5.0503642506094515E-4</v>
      </c>
      <c r="J1279" s="23">
        <v>42745</v>
      </c>
      <c r="K1279" s="22">
        <v>689.0915</v>
      </c>
      <c r="L1279">
        <f t="shared" si="38"/>
        <v>-1.4796136166765894E-3</v>
      </c>
      <c r="M1279" s="23">
        <v>42712</v>
      </c>
      <c r="N1279" s="22">
        <v>1043.299</v>
      </c>
      <c r="O1279">
        <f t="shared" si="39"/>
        <v>-2.6604429499894611E-2</v>
      </c>
    </row>
    <row r="1280" spans="7:15" x14ac:dyDescent="0.25">
      <c r="G1280" s="23">
        <v>42746</v>
      </c>
      <c r="H1280" s="22">
        <v>433.67039999999997</v>
      </c>
      <c r="I1280">
        <f t="shared" si="38"/>
        <v>-3.1926500355350385E-4</v>
      </c>
      <c r="J1280" s="23">
        <v>42746</v>
      </c>
      <c r="K1280" s="22">
        <v>682.05470000000003</v>
      </c>
      <c r="L1280">
        <f t="shared" si="38"/>
        <v>-1.0211706282837629E-2</v>
      </c>
      <c r="M1280" s="23">
        <v>42713</v>
      </c>
      <c r="N1280" s="22">
        <v>1042.7180000000001</v>
      </c>
      <c r="O1280">
        <f t="shared" si="39"/>
        <v>-5.5688733527003986E-4</v>
      </c>
    </row>
    <row r="1281" spans="7:15" x14ac:dyDescent="0.25">
      <c r="G1281" s="23">
        <v>42747</v>
      </c>
      <c r="H1281" s="22">
        <v>397.97649999999999</v>
      </c>
      <c r="I1281">
        <f t="shared" si="38"/>
        <v>-8.2306516654122586E-2</v>
      </c>
      <c r="J1281" s="23">
        <v>42747</v>
      </c>
      <c r="K1281" s="22">
        <v>634.22090000000003</v>
      </c>
      <c r="L1281">
        <f t="shared" si="38"/>
        <v>-7.0131911707374761E-2</v>
      </c>
      <c r="M1281" s="23">
        <v>42716</v>
      </c>
      <c r="N1281" s="22">
        <v>1042.7439999999999</v>
      </c>
      <c r="O1281">
        <f t="shared" si="39"/>
        <v>2.4934833770862141E-5</v>
      </c>
    </row>
    <row r="1282" spans="7:15" x14ac:dyDescent="0.25">
      <c r="G1282" s="23">
        <v>42748</v>
      </c>
      <c r="H1282" s="22">
        <v>394.11750000000001</v>
      </c>
      <c r="I1282">
        <f t="shared" si="38"/>
        <v>-9.6965524346286358E-3</v>
      </c>
      <c r="J1282" s="23">
        <v>42748</v>
      </c>
      <c r="K1282" s="22">
        <v>633.17340000000002</v>
      </c>
      <c r="L1282">
        <f t="shared" si="38"/>
        <v>-1.6516327355342586E-3</v>
      </c>
      <c r="M1282" s="23">
        <v>42717</v>
      </c>
      <c r="N1282" s="22">
        <v>1040.377</v>
      </c>
      <c r="O1282">
        <f t="shared" si="39"/>
        <v>-2.2699723038444031E-3</v>
      </c>
    </row>
    <row r="1283" spans="7:15" x14ac:dyDescent="0.25">
      <c r="G1283" s="23">
        <v>42751</v>
      </c>
      <c r="H1283" s="22">
        <v>394.11750000000001</v>
      </c>
      <c r="I1283">
        <f t="shared" si="38"/>
        <v>0</v>
      </c>
      <c r="J1283" s="23">
        <v>42751</v>
      </c>
      <c r="K1283" s="22">
        <v>633.17340000000002</v>
      </c>
      <c r="L1283">
        <f t="shared" si="38"/>
        <v>0</v>
      </c>
      <c r="M1283" s="23">
        <v>42718</v>
      </c>
      <c r="N1283" s="22">
        <v>1040.155</v>
      </c>
      <c r="O1283">
        <f t="shared" si="39"/>
        <v>-2.1338418669381021E-4</v>
      </c>
    </row>
    <row r="1284" spans="7:15" x14ac:dyDescent="0.25">
      <c r="G1284" s="23">
        <v>42752</v>
      </c>
      <c r="H1284" s="22">
        <v>394.12610000000001</v>
      </c>
      <c r="I1284">
        <f t="shared" ref="I1284:L1347" si="40">H1284/H1283-1</f>
        <v>2.1820903664426794E-5</v>
      </c>
      <c r="J1284" s="23">
        <v>42752</v>
      </c>
      <c r="K1284" s="22">
        <v>632.94960000000003</v>
      </c>
      <c r="L1284">
        <f t="shared" si="40"/>
        <v>-3.534576784178789E-4</v>
      </c>
      <c r="M1284" s="23">
        <v>42719</v>
      </c>
      <c r="N1284" s="22">
        <v>1039.7850000000001</v>
      </c>
      <c r="O1284">
        <f t="shared" ref="O1284:O1347" si="41">N1284/N1283-1</f>
        <v>-3.5571621537167086E-4</v>
      </c>
    </row>
    <row r="1285" spans="7:15" x14ac:dyDescent="0.25">
      <c r="G1285" s="23">
        <v>42753</v>
      </c>
      <c r="H1285" s="22">
        <v>394.13350000000003</v>
      </c>
      <c r="I1285">
        <f t="shared" si="40"/>
        <v>1.8775716706054268E-5</v>
      </c>
      <c r="J1285" s="23">
        <v>42753</v>
      </c>
      <c r="K1285" s="22">
        <v>633.52160000000003</v>
      </c>
      <c r="L1285">
        <f t="shared" si="40"/>
        <v>9.0370544510975925E-4</v>
      </c>
      <c r="M1285" s="23">
        <v>42720</v>
      </c>
      <c r="N1285" s="22">
        <v>1039.865</v>
      </c>
      <c r="O1285">
        <f t="shared" si="41"/>
        <v>7.6938982578100834E-5</v>
      </c>
    </row>
    <row r="1286" spans="7:15" x14ac:dyDescent="0.25">
      <c r="G1286" s="23">
        <v>42754</v>
      </c>
      <c r="H1286" s="22">
        <v>394.03910000000002</v>
      </c>
      <c r="I1286">
        <f t="shared" si="40"/>
        <v>-2.3951275392730675E-4</v>
      </c>
      <c r="J1286" s="23">
        <v>42754</v>
      </c>
      <c r="K1286" s="22">
        <v>633.93700000000001</v>
      </c>
      <c r="L1286">
        <f t="shared" si="40"/>
        <v>6.5569982144242367E-4</v>
      </c>
      <c r="M1286" s="23">
        <v>42723</v>
      </c>
      <c r="N1286" s="22">
        <v>1039.623</v>
      </c>
      <c r="O1286">
        <f t="shared" si="41"/>
        <v>-2.327225168651248E-4</v>
      </c>
    </row>
    <row r="1287" spans="7:15" x14ac:dyDescent="0.25">
      <c r="G1287" s="23">
        <v>42755</v>
      </c>
      <c r="H1287" s="22">
        <v>393.94720000000001</v>
      </c>
      <c r="I1287">
        <f t="shared" si="40"/>
        <v>-2.332255859888166E-4</v>
      </c>
      <c r="J1287" s="23">
        <v>42755</v>
      </c>
      <c r="K1287" s="22">
        <v>634.48260000000005</v>
      </c>
      <c r="L1287">
        <f t="shared" si="40"/>
        <v>8.6065334567941854E-4</v>
      </c>
      <c r="M1287" s="23">
        <v>42724</v>
      </c>
      <c r="N1287" s="22">
        <v>1039.4079999999999</v>
      </c>
      <c r="O1287">
        <f t="shared" si="41"/>
        <v>-2.0680573631026711E-4</v>
      </c>
    </row>
    <row r="1288" spans="7:15" x14ac:dyDescent="0.25">
      <c r="G1288" s="23">
        <v>42758</v>
      </c>
      <c r="H1288" s="22">
        <v>394.15890000000002</v>
      </c>
      <c r="I1288">
        <f t="shared" si="40"/>
        <v>5.3738165926797699E-4</v>
      </c>
      <c r="J1288" s="23">
        <v>42758</v>
      </c>
      <c r="K1288" s="22">
        <v>634.51139999999998</v>
      </c>
      <c r="L1288">
        <f t="shared" si="40"/>
        <v>4.5391315695475498E-5</v>
      </c>
      <c r="M1288" s="23">
        <v>42725</v>
      </c>
      <c r="N1288" s="22">
        <v>1012.115</v>
      </c>
      <c r="O1288">
        <f t="shared" si="41"/>
        <v>-2.6258216215384045E-2</v>
      </c>
    </row>
    <row r="1289" spans="7:15" x14ac:dyDescent="0.25">
      <c r="G1289" s="23">
        <v>42759</v>
      </c>
      <c r="H1289" s="22">
        <v>394.0188</v>
      </c>
      <c r="I1289">
        <f t="shared" si="40"/>
        <v>-3.5544040740931315E-4</v>
      </c>
      <c r="J1289" s="23">
        <v>42759</v>
      </c>
      <c r="K1289" s="22">
        <v>634.52080000000001</v>
      </c>
      <c r="L1289">
        <f t="shared" si="40"/>
        <v>1.4814548643382608E-5</v>
      </c>
      <c r="M1289" s="23">
        <v>42726</v>
      </c>
      <c r="N1289" s="22">
        <v>1011.972</v>
      </c>
      <c r="O1289">
        <f t="shared" si="41"/>
        <v>-1.4128829233839291E-4</v>
      </c>
    </row>
    <row r="1290" spans="7:15" x14ac:dyDescent="0.25">
      <c r="G1290" s="23">
        <v>42760</v>
      </c>
      <c r="H1290" s="22">
        <v>394.25279999999998</v>
      </c>
      <c r="I1290">
        <f t="shared" si="40"/>
        <v>5.9388029200624359E-4</v>
      </c>
      <c r="J1290" s="23">
        <v>42760</v>
      </c>
      <c r="K1290" s="22">
        <v>633.89670000000001</v>
      </c>
      <c r="L1290">
        <f t="shared" si="40"/>
        <v>-9.8357689771555457E-4</v>
      </c>
      <c r="M1290" s="23">
        <v>42727</v>
      </c>
      <c r="N1290" s="22">
        <v>1011.981</v>
      </c>
      <c r="O1290">
        <f t="shared" si="41"/>
        <v>8.8935266984169203E-6</v>
      </c>
    </row>
    <row r="1291" spans="7:15" x14ac:dyDescent="0.25">
      <c r="G1291" s="23">
        <v>42761</v>
      </c>
      <c r="H1291" s="22">
        <v>394.18639999999999</v>
      </c>
      <c r="I1291">
        <f t="shared" si="40"/>
        <v>-1.6841985649818092E-4</v>
      </c>
      <c r="J1291" s="23">
        <v>42761</v>
      </c>
      <c r="K1291" s="22">
        <v>633.65779999999995</v>
      </c>
      <c r="L1291">
        <f t="shared" si="40"/>
        <v>-3.7687528583141283E-4</v>
      </c>
      <c r="M1291" s="23">
        <v>42730</v>
      </c>
      <c r="N1291" s="22">
        <v>1011.981</v>
      </c>
      <c r="O1291">
        <f t="shared" si="41"/>
        <v>0</v>
      </c>
    </row>
    <row r="1292" spans="7:15" x14ac:dyDescent="0.25">
      <c r="G1292" s="23">
        <v>42762</v>
      </c>
      <c r="H1292" s="22">
        <v>394.26179999999999</v>
      </c>
      <c r="I1292">
        <f t="shared" si="40"/>
        <v>1.9128006445678913E-4</v>
      </c>
      <c r="J1292" s="23">
        <v>42762</v>
      </c>
      <c r="K1292" s="22">
        <v>633.63139999999999</v>
      </c>
      <c r="L1292">
        <f t="shared" si="40"/>
        <v>-4.1662865982172725E-5</v>
      </c>
      <c r="M1292" s="23">
        <v>42731</v>
      </c>
      <c r="N1292" s="22">
        <v>1011.894</v>
      </c>
      <c r="O1292">
        <f t="shared" si="41"/>
        <v>-8.5969993507739595E-5</v>
      </c>
    </row>
    <row r="1293" spans="7:15" x14ac:dyDescent="0.25">
      <c r="G1293" s="23">
        <v>42765</v>
      </c>
      <c r="H1293" s="22">
        <v>394.07100000000003</v>
      </c>
      <c r="I1293">
        <f t="shared" si="40"/>
        <v>-4.8394239563653851E-4</v>
      </c>
      <c r="J1293" s="23">
        <v>42765</v>
      </c>
      <c r="K1293" s="22">
        <v>632.7636</v>
      </c>
      <c r="L1293">
        <f t="shared" si="40"/>
        <v>-1.3695659653230052E-3</v>
      </c>
      <c r="M1293" s="23">
        <v>42732</v>
      </c>
      <c r="N1293" s="22">
        <v>1011.604</v>
      </c>
      <c r="O1293">
        <f t="shared" si="41"/>
        <v>-2.865912832766826E-4</v>
      </c>
    </row>
    <row r="1294" spans="7:15" x14ac:dyDescent="0.25">
      <c r="G1294" s="23">
        <v>42766</v>
      </c>
      <c r="H1294" s="22">
        <v>394.06970000000001</v>
      </c>
      <c r="I1294">
        <f t="shared" si="40"/>
        <v>-3.2988979143944164E-6</v>
      </c>
      <c r="J1294" s="23">
        <v>42766</v>
      </c>
      <c r="K1294" s="22">
        <v>634.35320000000002</v>
      </c>
      <c r="L1294">
        <f t="shared" si="40"/>
        <v>2.5121546182491628E-3</v>
      </c>
      <c r="M1294" s="23">
        <v>42733</v>
      </c>
      <c r="N1294" s="22">
        <v>1011.503</v>
      </c>
      <c r="O1294">
        <f t="shared" si="41"/>
        <v>-9.9841439931025455E-5</v>
      </c>
    </row>
    <row r="1295" spans="7:15" x14ac:dyDescent="0.25">
      <c r="G1295" s="23">
        <v>42767</v>
      </c>
      <c r="H1295" s="22">
        <v>393.33370000000002</v>
      </c>
      <c r="I1295">
        <f t="shared" si="40"/>
        <v>-1.8676899035880989E-3</v>
      </c>
      <c r="J1295" s="23">
        <v>42767</v>
      </c>
      <c r="K1295" s="22">
        <v>634.0136</v>
      </c>
      <c r="L1295">
        <f t="shared" si="40"/>
        <v>-5.3534844625990896E-4</v>
      </c>
      <c r="M1295" s="23">
        <v>42734</v>
      </c>
      <c r="N1295" s="22">
        <v>1011.3</v>
      </c>
      <c r="O1295">
        <f t="shared" si="41"/>
        <v>-2.0069144629342173E-4</v>
      </c>
    </row>
    <row r="1296" spans="7:15" x14ac:dyDescent="0.25">
      <c r="G1296" s="23">
        <v>42768</v>
      </c>
      <c r="H1296" s="22">
        <v>393.20310000000001</v>
      </c>
      <c r="I1296">
        <f t="shared" si="40"/>
        <v>-3.3203358878231004E-4</v>
      </c>
      <c r="J1296" s="23">
        <v>42768</v>
      </c>
      <c r="K1296" s="22">
        <v>633.60709999999995</v>
      </c>
      <c r="L1296">
        <f t="shared" si="40"/>
        <v>-6.411534389799689E-4</v>
      </c>
      <c r="M1296" s="23">
        <v>42737</v>
      </c>
      <c r="N1296" s="22">
        <v>1011.3</v>
      </c>
      <c r="O1296">
        <f t="shared" si="41"/>
        <v>0</v>
      </c>
    </row>
    <row r="1297" spans="7:15" x14ac:dyDescent="0.25">
      <c r="G1297" s="23">
        <v>42769</v>
      </c>
      <c r="H1297" s="22">
        <v>392.9246</v>
      </c>
      <c r="I1297">
        <f t="shared" si="40"/>
        <v>-7.0828536194145197E-4</v>
      </c>
      <c r="J1297" s="23">
        <v>42769</v>
      </c>
      <c r="K1297" s="22">
        <v>633.84220000000005</v>
      </c>
      <c r="L1297">
        <f t="shared" si="40"/>
        <v>3.7105013501292916E-4</v>
      </c>
      <c r="M1297" s="23">
        <v>42738</v>
      </c>
      <c r="N1297" s="22">
        <v>1010.062</v>
      </c>
      <c r="O1297">
        <f t="shared" si="41"/>
        <v>-1.2241669138731703E-3</v>
      </c>
    </row>
    <row r="1298" spans="7:15" x14ac:dyDescent="0.25">
      <c r="G1298" s="23">
        <v>42772</v>
      </c>
      <c r="H1298" s="22">
        <v>392.92739999999998</v>
      </c>
      <c r="I1298">
        <f t="shared" si="40"/>
        <v>7.1260491198987808E-6</v>
      </c>
      <c r="J1298" s="23">
        <v>42772</v>
      </c>
      <c r="K1298" s="22">
        <v>633.45129999999995</v>
      </c>
      <c r="L1298">
        <f t="shared" si="40"/>
        <v>-6.1671501203308665E-4</v>
      </c>
      <c r="M1298" s="23">
        <v>42739</v>
      </c>
      <c r="N1298" s="22">
        <v>1008.901</v>
      </c>
      <c r="O1298">
        <f t="shared" si="41"/>
        <v>-1.1494343911562233E-3</v>
      </c>
    </row>
    <row r="1299" spans="7:15" x14ac:dyDescent="0.25">
      <c r="G1299" s="23">
        <v>42773</v>
      </c>
      <c r="H1299" s="22">
        <v>392.73110000000003</v>
      </c>
      <c r="I1299">
        <f t="shared" si="40"/>
        <v>-4.9958338359690213E-4</v>
      </c>
      <c r="J1299" s="23">
        <v>42773</v>
      </c>
      <c r="K1299" s="22">
        <v>633.53210000000001</v>
      </c>
      <c r="L1299">
        <f t="shared" si="40"/>
        <v>1.2755518853624359E-4</v>
      </c>
      <c r="M1299" s="23">
        <v>42740</v>
      </c>
      <c r="N1299" s="22">
        <v>1008.881</v>
      </c>
      <c r="O1299">
        <f t="shared" si="41"/>
        <v>-1.9823550576281157E-5</v>
      </c>
    </row>
    <row r="1300" spans="7:15" x14ac:dyDescent="0.25">
      <c r="G1300" s="23">
        <v>42774</v>
      </c>
      <c r="H1300" s="22">
        <v>392.5086</v>
      </c>
      <c r="I1300">
        <f t="shared" si="40"/>
        <v>-5.6654540473122239E-4</v>
      </c>
      <c r="J1300" s="23">
        <v>42774</v>
      </c>
      <c r="K1300" s="22">
        <v>633.78930000000003</v>
      </c>
      <c r="L1300">
        <f t="shared" si="40"/>
        <v>4.0597785021478927E-4</v>
      </c>
      <c r="M1300" s="23">
        <v>42741</v>
      </c>
      <c r="N1300" s="22">
        <v>1005.586</v>
      </c>
      <c r="O1300">
        <f t="shared" si="41"/>
        <v>-3.2659947010598156E-3</v>
      </c>
    </row>
    <row r="1301" spans="7:15" x14ac:dyDescent="0.25">
      <c r="G1301" s="23">
        <v>42775</v>
      </c>
      <c r="H1301" s="22">
        <v>392.51920000000001</v>
      </c>
      <c r="I1301">
        <f t="shared" si="40"/>
        <v>2.700577770786694E-5</v>
      </c>
      <c r="J1301" s="23">
        <v>42775</v>
      </c>
      <c r="K1301" s="22">
        <v>633.83339999999998</v>
      </c>
      <c r="L1301">
        <f t="shared" si="40"/>
        <v>6.9581483941094646E-5</v>
      </c>
      <c r="M1301" s="23">
        <v>42744</v>
      </c>
      <c r="N1301" s="22">
        <v>1005.482</v>
      </c>
      <c r="O1301">
        <f t="shared" si="41"/>
        <v>-1.0342228312654189E-4</v>
      </c>
    </row>
    <row r="1302" spans="7:15" x14ac:dyDescent="0.25">
      <c r="G1302" s="23">
        <v>42776</v>
      </c>
      <c r="H1302" s="22">
        <v>392.51220000000001</v>
      </c>
      <c r="I1302">
        <f t="shared" si="40"/>
        <v>-1.7833522538479585E-5</v>
      </c>
      <c r="J1302" s="23">
        <v>42776</v>
      </c>
      <c r="K1302" s="22">
        <v>633.38440000000003</v>
      </c>
      <c r="L1302">
        <f t="shared" si="40"/>
        <v>-7.0838804013795276E-4</v>
      </c>
      <c r="M1302" s="23">
        <v>42745</v>
      </c>
      <c r="N1302" s="22">
        <v>1005.4829999999999</v>
      </c>
      <c r="O1302">
        <f t="shared" si="41"/>
        <v>9.9454788848873932E-7</v>
      </c>
    </row>
    <row r="1303" spans="7:15" x14ac:dyDescent="0.25">
      <c r="G1303" s="23">
        <v>42779</v>
      </c>
      <c r="H1303" s="22">
        <v>391.93540000000002</v>
      </c>
      <c r="I1303">
        <f t="shared" si="40"/>
        <v>-1.4695084636859868E-3</v>
      </c>
      <c r="J1303" s="23">
        <v>42779</v>
      </c>
      <c r="K1303" s="22">
        <v>633.18269999999995</v>
      </c>
      <c r="L1303">
        <f t="shared" si="40"/>
        <v>-3.184480072450091E-4</v>
      </c>
      <c r="M1303" s="23">
        <v>42746</v>
      </c>
      <c r="N1303" s="22">
        <v>1005.1609999999999</v>
      </c>
      <c r="O1303">
        <f t="shared" si="41"/>
        <v>-3.2024410159092742E-4</v>
      </c>
    </row>
    <row r="1304" spans="7:15" x14ac:dyDescent="0.25">
      <c r="G1304" s="23">
        <v>42780</v>
      </c>
      <c r="H1304" s="22">
        <v>391.84980000000002</v>
      </c>
      <c r="I1304">
        <f t="shared" si="40"/>
        <v>-2.1840333891753883E-4</v>
      </c>
      <c r="J1304" s="23">
        <v>42780</v>
      </c>
      <c r="K1304" s="22">
        <v>633.03390000000002</v>
      </c>
      <c r="L1304">
        <f t="shared" si="40"/>
        <v>-2.3500326209158207E-4</v>
      </c>
      <c r="M1304" s="23">
        <v>42747</v>
      </c>
      <c r="N1304" s="22">
        <v>825.41200000000003</v>
      </c>
      <c r="O1304">
        <f t="shared" si="41"/>
        <v>-0.17882607860830246</v>
      </c>
    </row>
    <row r="1305" spans="7:15" x14ac:dyDescent="0.25">
      <c r="G1305" s="23">
        <v>42781</v>
      </c>
      <c r="H1305" s="22">
        <v>391.74939999999998</v>
      </c>
      <c r="I1305">
        <f t="shared" si="40"/>
        <v>-2.5622062331032147E-4</v>
      </c>
      <c r="J1305" s="23">
        <v>42781</v>
      </c>
      <c r="K1305" s="22">
        <v>633.04020000000003</v>
      </c>
      <c r="L1305">
        <f t="shared" si="40"/>
        <v>9.9520736567271229E-6</v>
      </c>
      <c r="M1305" s="23">
        <v>42748</v>
      </c>
      <c r="N1305" s="22">
        <v>825.23820000000001</v>
      </c>
      <c r="O1305">
        <f t="shared" si="41"/>
        <v>-2.1056151352294439E-4</v>
      </c>
    </row>
    <row r="1306" spans="7:15" x14ac:dyDescent="0.25">
      <c r="G1306" s="23">
        <v>42782</v>
      </c>
      <c r="H1306" s="22">
        <v>391.7312</v>
      </c>
      <c r="I1306">
        <f t="shared" si="40"/>
        <v>-4.6458271537819229E-5</v>
      </c>
      <c r="J1306" s="23">
        <v>42782</v>
      </c>
      <c r="K1306" s="22">
        <v>632.57960000000003</v>
      </c>
      <c r="L1306">
        <f t="shared" si="40"/>
        <v>-7.2759992177429123E-4</v>
      </c>
      <c r="M1306" s="23">
        <v>42751</v>
      </c>
      <c r="N1306" s="22">
        <v>825.23820000000001</v>
      </c>
      <c r="O1306">
        <f t="shared" si="41"/>
        <v>0</v>
      </c>
    </row>
    <row r="1307" spans="7:15" x14ac:dyDescent="0.25">
      <c r="G1307" s="23">
        <v>42783</v>
      </c>
      <c r="H1307" s="22">
        <v>391.75990000000002</v>
      </c>
      <c r="I1307">
        <f t="shared" si="40"/>
        <v>7.3264524245164608E-5</v>
      </c>
      <c r="J1307" s="23">
        <v>42783</v>
      </c>
      <c r="K1307" s="22">
        <v>632.60559999999998</v>
      </c>
      <c r="L1307">
        <f t="shared" si="40"/>
        <v>4.1101546746080686E-5</v>
      </c>
      <c r="M1307" s="23">
        <v>42752</v>
      </c>
      <c r="N1307" s="22">
        <v>825.08900000000006</v>
      </c>
      <c r="O1307">
        <f t="shared" si="41"/>
        <v>-1.8079628403044889E-4</v>
      </c>
    </row>
    <row r="1308" spans="7:15" x14ac:dyDescent="0.25">
      <c r="G1308" s="23">
        <v>42786</v>
      </c>
      <c r="H1308" s="22">
        <v>391.75990000000002</v>
      </c>
      <c r="I1308">
        <f t="shared" si="40"/>
        <v>0</v>
      </c>
      <c r="J1308" s="23">
        <v>42786</v>
      </c>
      <c r="K1308" s="22">
        <v>632.60559999999998</v>
      </c>
      <c r="L1308">
        <f t="shared" si="40"/>
        <v>0</v>
      </c>
      <c r="M1308" s="23">
        <v>42753</v>
      </c>
      <c r="N1308" s="22">
        <v>825.96209999999996</v>
      </c>
      <c r="O1308">
        <f t="shared" si="41"/>
        <v>1.0581888741698631E-3</v>
      </c>
    </row>
    <row r="1309" spans="7:15" x14ac:dyDescent="0.25">
      <c r="G1309" s="23">
        <v>42787</v>
      </c>
      <c r="H1309" s="22">
        <v>391.55410000000001</v>
      </c>
      <c r="I1309">
        <f t="shared" si="40"/>
        <v>-5.2532175957775706E-4</v>
      </c>
      <c r="J1309" s="23">
        <v>42787</v>
      </c>
      <c r="K1309" s="22">
        <v>632.63149999999996</v>
      </c>
      <c r="L1309">
        <f t="shared" si="40"/>
        <v>4.0941781103365216E-5</v>
      </c>
      <c r="M1309" s="23">
        <v>42754</v>
      </c>
      <c r="N1309" s="22">
        <v>825.82169999999996</v>
      </c>
      <c r="O1309">
        <f t="shared" si="41"/>
        <v>-1.6998358641395761E-4</v>
      </c>
    </row>
    <row r="1310" spans="7:15" x14ac:dyDescent="0.25">
      <c r="G1310" s="23">
        <v>42788</v>
      </c>
      <c r="H1310" s="22">
        <v>391.5899</v>
      </c>
      <c r="I1310">
        <f t="shared" si="40"/>
        <v>9.1430532843439494E-5</v>
      </c>
      <c r="J1310" s="23">
        <v>42788</v>
      </c>
      <c r="K1310" s="22">
        <v>632.56780000000003</v>
      </c>
      <c r="L1310">
        <f t="shared" si="40"/>
        <v>-1.0069052837224923E-4</v>
      </c>
      <c r="M1310" s="23">
        <v>42755</v>
      </c>
      <c r="N1310" s="22">
        <v>826.79470000000003</v>
      </c>
      <c r="O1310">
        <f t="shared" si="41"/>
        <v>1.1782204318440126E-3</v>
      </c>
    </row>
    <row r="1311" spans="7:15" x14ac:dyDescent="0.25">
      <c r="G1311" s="23">
        <v>42789</v>
      </c>
      <c r="H1311" s="22">
        <v>391.21019999999999</v>
      </c>
      <c r="I1311">
        <f t="shared" si="40"/>
        <v>-9.6963685733475469E-4</v>
      </c>
      <c r="J1311" s="23">
        <v>42789</v>
      </c>
      <c r="K1311" s="22">
        <v>632.22400000000005</v>
      </c>
      <c r="L1311">
        <f t="shared" si="40"/>
        <v>-5.434990525916561E-4</v>
      </c>
      <c r="M1311" s="23">
        <v>42758</v>
      </c>
      <c r="N1311" s="22">
        <v>826.78719999999998</v>
      </c>
      <c r="O1311">
        <f t="shared" si="41"/>
        <v>-9.0711757102512891E-6</v>
      </c>
    </row>
    <row r="1312" spans="7:15" x14ac:dyDescent="0.25">
      <c r="G1312" s="23">
        <v>42790</v>
      </c>
      <c r="H1312" s="22">
        <v>390.85500000000002</v>
      </c>
      <c r="I1312">
        <f t="shared" si="40"/>
        <v>-9.0795178653313435E-4</v>
      </c>
      <c r="J1312" s="23">
        <v>42790</v>
      </c>
      <c r="K1312" s="22">
        <v>631.54250000000002</v>
      </c>
      <c r="L1312">
        <f t="shared" si="40"/>
        <v>-1.0779407298678878E-3</v>
      </c>
      <c r="M1312" s="23">
        <v>42759</v>
      </c>
      <c r="N1312" s="22">
        <v>827.04219999999998</v>
      </c>
      <c r="O1312">
        <f t="shared" si="41"/>
        <v>3.0842277190545886E-4</v>
      </c>
    </row>
    <row r="1313" spans="7:15" x14ac:dyDescent="0.25">
      <c r="G1313" s="23">
        <v>42793</v>
      </c>
      <c r="H1313" s="22">
        <v>390.78320000000002</v>
      </c>
      <c r="I1313">
        <f t="shared" si="40"/>
        <v>-1.8369983753563357E-4</v>
      </c>
      <c r="J1313" s="23">
        <v>42793</v>
      </c>
      <c r="K1313" s="22">
        <v>630.65260000000001</v>
      </c>
      <c r="L1313">
        <f t="shared" si="40"/>
        <v>-1.4090896495485561E-3</v>
      </c>
      <c r="M1313" s="23">
        <v>42760</v>
      </c>
      <c r="N1313" s="22">
        <v>827.4502</v>
      </c>
      <c r="O1313">
        <f t="shared" si="41"/>
        <v>4.9332428260617789E-4</v>
      </c>
    </row>
    <row r="1314" spans="7:15" x14ac:dyDescent="0.25">
      <c r="G1314" s="23">
        <v>42794</v>
      </c>
      <c r="H1314" s="22">
        <v>391.1026</v>
      </c>
      <c r="I1314">
        <f t="shared" si="40"/>
        <v>8.173329866789647E-4</v>
      </c>
      <c r="J1314" s="23">
        <v>42794</v>
      </c>
      <c r="K1314" s="22">
        <v>624.7296</v>
      </c>
      <c r="L1314">
        <f t="shared" si="40"/>
        <v>-9.3918585287684486E-3</v>
      </c>
      <c r="M1314" s="23">
        <v>42761</v>
      </c>
      <c r="N1314" s="22">
        <v>827.07619999999997</v>
      </c>
      <c r="O1314">
        <f t="shared" si="41"/>
        <v>-4.5199094761239067E-4</v>
      </c>
    </row>
    <row r="1315" spans="7:15" x14ac:dyDescent="0.25">
      <c r="G1315" s="23">
        <v>42795</v>
      </c>
      <c r="H1315" s="22">
        <v>391.0317</v>
      </c>
      <c r="I1315">
        <f t="shared" si="40"/>
        <v>-1.8128235404213378E-4</v>
      </c>
      <c r="J1315" s="23">
        <v>42795</v>
      </c>
      <c r="K1315" s="22">
        <v>624.87070000000006</v>
      </c>
      <c r="L1315">
        <f t="shared" si="40"/>
        <v>2.258577150819896E-4</v>
      </c>
      <c r="M1315" s="23">
        <v>42762</v>
      </c>
      <c r="N1315" s="22">
        <v>827.06790000000001</v>
      </c>
      <c r="O1315">
        <f t="shared" si="41"/>
        <v>-1.0035351035275752E-5</v>
      </c>
    </row>
    <row r="1316" spans="7:15" x14ac:dyDescent="0.25">
      <c r="G1316" s="23">
        <v>42796</v>
      </c>
      <c r="H1316" s="22">
        <v>390.83010000000002</v>
      </c>
      <c r="I1316">
        <f t="shared" si="40"/>
        <v>-5.1555922448232039E-4</v>
      </c>
      <c r="J1316" s="23">
        <v>42796</v>
      </c>
      <c r="K1316" s="22">
        <v>624.59749999999997</v>
      </c>
      <c r="L1316">
        <f t="shared" si="40"/>
        <v>-4.3721045009803561E-4</v>
      </c>
      <c r="M1316" s="23">
        <v>42765</v>
      </c>
      <c r="N1316" s="22">
        <v>826.62049999999999</v>
      </c>
      <c r="O1316">
        <f t="shared" si="41"/>
        <v>-5.4094712175389859E-4</v>
      </c>
    </row>
    <row r="1317" spans="7:15" x14ac:dyDescent="0.25">
      <c r="G1317" s="23">
        <v>42797</v>
      </c>
      <c r="H1317" s="22">
        <v>390.73410000000001</v>
      </c>
      <c r="I1317">
        <f t="shared" si="40"/>
        <v>-2.4563102995389663E-4</v>
      </c>
      <c r="J1317" s="23">
        <v>42797</v>
      </c>
      <c r="K1317" s="22">
        <v>624.4248</v>
      </c>
      <c r="L1317">
        <f t="shared" si="40"/>
        <v>-2.7649806475360528E-4</v>
      </c>
      <c r="M1317" s="23">
        <v>42766</v>
      </c>
      <c r="N1317" s="22">
        <v>827.68579999999997</v>
      </c>
      <c r="O1317">
        <f t="shared" si="41"/>
        <v>1.2887413268845016E-3</v>
      </c>
    </row>
    <row r="1318" spans="7:15" x14ac:dyDescent="0.25">
      <c r="G1318" s="23">
        <v>42800</v>
      </c>
      <c r="H1318" s="22">
        <v>390.57650000000001</v>
      </c>
      <c r="I1318">
        <f t="shared" si="40"/>
        <v>-4.0334334781633174E-4</v>
      </c>
      <c r="J1318" s="23">
        <v>42800</v>
      </c>
      <c r="K1318" s="22">
        <v>624.02260000000001</v>
      </c>
      <c r="L1318">
        <f t="shared" si="40"/>
        <v>-6.4411278988274479E-4</v>
      </c>
      <c r="M1318" s="23">
        <v>42767</v>
      </c>
      <c r="N1318" s="22">
        <v>827.82849999999996</v>
      </c>
      <c r="O1318">
        <f t="shared" si="41"/>
        <v>1.7240841875021395E-4</v>
      </c>
    </row>
    <row r="1319" spans="7:15" x14ac:dyDescent="0.25">
      <c r="G1319" s="23">
        <v>42801</v>
      </c>
      <c r="H1319" s="22">
        <v>390.36419999999998</v>
      </c>
      <c r="I1319">
        <f t="shared" si="40"/>
        <v>-5.435554878494564E-4</v>
      </c>
      <c r="J1319" s="23">
        <v>42801</v>
      </c>
      <c r="K1319" s="22">
        <v>623.03250000000003</v>
      </c>
      <c r="L1319">
        <f t="shared" si="40"/>
        <v>-1.5866412530571861E-3</v>
      </c>
      <c r="M1319" s="23">
        <v>42768</v>
      </c>
      <c r="N1319" s="22">
        <v>829.26930000000004</v>
      </c>
      <c r="O1319">
        <f t="shared" si="41"/>
        <v>1.7404571115877676E-3</v>
      </c>
    </row>
    <row r="1320" spans="7:15" x14ac:dyDescent="0.25">
      <c r="G1320" s="23">
        <v>42802</v>
      </c>
      <c r="H1320" s="22">
        <v>390.23899999999998</v>
      </c>
      <c r="I1320">
        <f t="shared" si="40"/>
        <v>-3.2072613216072021E-4</v>
      </c>
      <c r="J1320" s="23">
        <v>42802</v>
      </c>
      <c r="K1320" s="22">
        <v>622.71050000000002</v>
      </c>
      <c r="L1320">
        <f t="shared" si="40"/>
        <v>-5.168269713057283E-4</v>
      </c>
      <c r="M1320" s="23">
        <v>42769</v>
      </c>
      <c r="N1320" s="22">
        <v>829.25699999999995</v>
      </c>
      <c r="O1320">
        <f t="shared" si="41"/>
        <v>-1.4832334924386181E-5</v>
      </c>
    </row>
    <row r="1321" spans="7:15" x14ac:dyDescent="0.25">
      <c r="G1321" s="23">
        <v>42803</v>
      </c>
      <c r="H1321" s="22">
        <v>390.19009999999997</v>
      </c>
      <c r="I1321">
        <f t="shared" si="40"/>
        <v>-1.2530782417952135E-4</v>
      </c>
      <c r="J1321" s="23">
        <v>42803</v>
      </c>
      <c r="K1321" s="22">
        <v>622.16549999999995</v>
      </c>
      <c r="L1321">
        <f t="shared" si="40"/>
        <v>-8.7520605482016567E-4</v>
      </c>
      <c r="M1321" s="23">
        <v>42772</v>
      </c>
      <c r="N1321" s="22">
        <v>829.9615</v>
      </c>
      <c r="O1321">
        <f t="shared" si="41"/>
        <v>8.4955568659661473E-4</v>
      </c>
    </row>
    <row r="1322" spans="7:15" x14ac:dyDescent="0.25">
      <c r="G1322" s="23">
        <v>42804</v>
      </c>
      <c r="H1322" s="22">
        <v>390.20170000000002</v>
      </c>
      <c r="I1322">
        <f t="shared" si="40"/>
        <v>2.9729098713682234E-5</v>
      </c>
      <c r="J1322" s="23">
        <v>42804</v>
      </c>
      <c r="K1322" s="22">
        <v>622.09870000000001</v>
      </c>
      <c r="L1322">
        <f t="shared" si="40"/>
        <v>-1.0736693050317214E-4</v>
      </c>
      <c r="M1322" s="23">
        <v>42773</v>
      </c>
      <c r="N1322" s="22">
        <v>830.25909999999999</v>
      </c>
      <c r="O1322">
        <f t="shared" si="41"/>
        <v>3.5857084937074291E-4</v>
      </c>
    </row>
    <row r="1323" spans="7:15" x14ac:dyDescent="0.25">
      <c r="G1323" s="23">
        <v>42807</v>
      </c>
      <c r="H1323" s="22">
        <v>390.21530000000001</v>
      </c>
      <c r="I1323">
        <f t="shared" si="40"/>
        <v>3.4853769217191299E-5</v>
      </c>
      <c r="J1323" s="23">
        <v>42807</v>
      </c>
      <c r="K1323" s="22">
        <v>622.09649999999999</v>
      </c>
      <c r="L1323">
        <f t="shared" si="40"/>
        <v>-3.5364163275541927E-6</v>
      </c>
      <c r="M1323" s="23">
        <v>42774</v>
      </c>
      <c r="N1323" s="22">
        <v>830.24959999999999</v>
      </c>
      <c r="O1323">
        <f t="shared" si="41"/>
        <v>-1.1442211232615129E-5</v>
      </c>
    </row>
    <row r="1324" spans="7:15" x14ac:dyDescent="0.25">
      <c r="G1324" s="23">
        <v>42808</v>
      </c>
      <c r="H1324" s="22">
        <v>390.233</v>
      </c>
      <c r="I1324">
        <f t="shared" si="40"/>
        <v>4.5359574573300421E-5</v>
      </c>
      <c r="J1324" s="23">
        <v>42808</v>
      </c>
      <c r="K1324" s="22">
        <v>621.79240000000004</v>
      </c>
      <c r="L1324">
        <f t="shared" si="40"/>
        <v>-4.8883091288887126E-4</v>
      </c>
      <c r="M1324" s="23">
        <v>42775</v>
      </c>
      <c r="N1324" s="22">
        <v>830.25639999999999</v>
      </c>
      <c r="O1324">
        <f t="shared" si="41"/>
        <v>8.1903080713097154E-6</v>
      </c>
    </row>
    <row r="1325" spans="7:15" x14ac:dyDescent="0.25">
      <c r="G1325" s="23">
        <v>42809</v>
      </c>
      <c r="H1325" s="22">
        <v>389.99090000000001</v>
      </c>
      <c r="I1325">
        <f t="shared" si="40"/>
        <v>-6.2039858238538415E-4</v>
      </c>
      <c r="J1325" s="23">
        <v>42809</v>
      </c>
      <c r="K1325" s="22">
        <v>621.44370000000004</v>
      </c>
      <c r="L1325">
        <f t="shared" si="40"/>
        <v>-5.6079810560571985E-4</v>
      </c>
      <c r="M1325" s="23">
        <v>42776</v>
      </c>
      <c r="N1325" s="22">
        <v>830.25800000000004</v>
      </c>
      <c r="O1325">
        <f t="shared" si="41"/>
        <v>1.9271155273781204E-6</v>
      </c>
    </row>
    <row r="1326" spans="7:15" x14ac:dyDescent="0.25">
      <c r="G1326" s="23">
        <v>42810</v>
      </c>
      <c r="H1326" s="22">
        <v>389.96480000000003</v>
      </c>
      <c r="I1326">
        <f t="shared" si="40"/>
        <v>-6.6924638497889433E-5</v>
      </c>
      <c r="J1326" s="23">
        <v>42810</v>
      </c>
      <c r="K1326" s="22">
        <v>621.36130000000003</v>
      </c>
      <c r="L1326">
        <f t="shared" si="40"/>
        <v>-1.3259447315983053E-4</v>
      </c>
      <c r="M1326" s="23">
        <v>42779</v>
      </c>
      <c r="N1326" s="22">
        <v>829.73720000000003</v>
      </c>
      <c r="O1326">
        <f t="shared" si="41"/>
        <v>-6.2727489527347746E-4</v>
      </c>
    </row>
    <row r="1327" spans="7:15" x14ac:dyDescent="0.25">
      <c r="G1327" s="23">
        <v>42811</v>
      </c>
      <c r="H1327" s="22">
        <v>389.71050000000002</v>
      </c>
      <c r="I1327">
        <f t="shared" si="40"/>
        <v>-6.521101391715467E-4</v>
      </c>
      <c r="J1327" s="23">
        <v>42811</v>
      </c>
      <c r="K1327" s="22">
        <v>621.11080000000004</v>
      </c>
      <c r="L1327">
        <f t="shared" si="40"/>
        <v>-4.031470901068035E-4</v>
      </c>
      <c r="M1327" s="23">
        <v>42780</v>
      </c>
      <c r="N1327" s="22">
        <v>829.63059999999996</v>
      </c>
      <c r="O1327">
        <f t="shared" si="41"/>
        <v>-1.2847441334440379E-4</v>
      </c>
    </row>
    <row r="1328" spans="7:15" x14ac:dyDescent="0.25">
      <c r="G1328" s="23">
        <v>42814</v>
      </c>
      <c r="H1328" s="22">
        <v>389.70639999999997</v>
      </c>
      <c r="I1328">
        <f t="shared" si="40"/>
        <v>-1.0520630057575531E-5</v>
      </c>
      <c r="J1328" s="23">
        <v>42814</v>
      </c>
      <c r="K1328" s="22">
        <v>621.07180000000005</v>
      </c>
      <c r="L1328">
        <f t="shared" si="40"/>
        <v>-6.2790729125961064E-5</v>
      </c>
      <c r="M1328" s="23">
        <v>42781</v>
      </c>
      <c r="N1328" s="22">
        <v>829.75329999999997</v>
      </c>
      <c r="O1328">
        <f t="shared" si="41"/>
        <v>1.478971484416558E-4</v>
      </c>
    </row>
    <row r="1329" spans="7:15" x14ac:dyDescent="0.25">
      <c r="G1329" s="23">
        <v>42815</v>
      </c>
      <c r="H1329" s="22">
        <v>389.7346</v>
      </c>
      <c r="I1329">
        <f t="shared" si="40"/>
        <v>7.2362168032302776E-5</v>
      </c>
      <c r="J1329" s="23">
        <v>42815</v>
      </c>
      <c r="K1329" s="22">
        <v>620.15790000000004</v>
      </c>
      <c r="L1329">
        <f t="shared" si="40"/>
        <v>-1.4714884816859897E-3</v>
      </c>
      <c r="M1329" s="23">
        <v>42782</v>
      </c>
      <c r="N1329" s="22">
        <v>829.77369999999996</v>
      </c>
      <c r="O1329">
        <f t="shared" si="41"/>
        <v>2.4585620810313458E-5</v>
      </c>
    </row>
    <row r="1330" spans="7:15" x14ac:dyDescent="0.25">
      <c r="G1330" s="23">
        <v>42816</v>
      </c>
      <c r="H1330" s="22">
        <v>389.74290000000002</v>
      </c>
      <c r="I1330">
        <f t="shared" si="40"/>
        <v>2.129654385329971E-5</v>
      </c>
      <c r="J1330" s="23">
        <v>42816</v>
      </c>
      <c r="K1330" s="22">
        <v>619.86779999999999</v>
      </c>
      <c r="L1330">
        <f t="shared" si="40"/>
        <v>-4.6778409176118085E-4</v>
      </c>
      <c r="M1330" s="23">
        <v>42783</v>
      </c>
      <c r="N1330" s="22">
        <v>828.58780000000002</v>
      </c>
      <c r="O1330">
        <f t="shared" si="41"/>
        <v>-1.4291848488328096E-3</v>
      </c>
    </row>
    <row r="1331" spans="7:15" x14ac:dyDescent="0.25">
      <c r="G1331" s="23">
        <v>42817</v>
      </c>
      <c r="H1331" s="22">
        <v>389.50709999999998</v>
      </c>
      <c r="I1331">
        <f t="shared" si="40"/>
        <v>-6.0501422861081178E-4</v>
      </c>
      <c r="J1331" s="23">
        <v>42817</v>
      </c>
      <c r="K1331" s="22">
        <v>619.75699999999995</v>
      </c>
      <c r="L1331">
        <f t="shared" si="40"/>
        <v>-1.7874779106130667E-4</v>
      </c>
      <c r="M1331" s="23">
        <v>42786</v>
      </c>
      <c r="N1331" s="22">
        <v>828.58780000000002</v>
      </c>
      <c r="O1331">
        <f t="shared" si="41"/>
        <v>0</v>
      </c>
    </row>
    <row r="1332" spans="7:15" x14ac:dyDescent="0.25">
      <c r="G1332" s="23">
        <v>42818</v>
      </c>
      <c r="H1332" s="22">
        <v>389.64699999999999</v>
      </c>
      <c r="I1332">
        <f t="shared" si="40"/>
        <v>3.5917188672551781E-4</v>
      </c>
      <c r="J1332" s="23">
        <v>42818</v>
      </c>
      <c r="K1332" s="22">
        <v>619.60180000000003</v>
      </c>
      <c r="L1332">
        <f t="shared" si="40"/>
        <v>-2.5042072941483529E-4</v>
      </c>
      <c r="M1332" s="23">
        <v>42787</v>
      </c>
      <c r="N1332" s="22">
        <v>828.6114</v>
      </c>
      <c r="O1332">
        <f t="shared" si="41"/>
        <v>2.8482195851831094E-5</v>
      </c>
    </row>
    <row r="1333" spans="7:15" x14ac:dyDescent="0.25">
      <c r="G1333" s="23">
        <v>42821</v>
      </c>
      <c r="H1333" s="22">
        <v>389.53469999999999</v>
      </c>
      <c r="I1333">
        <f t="shared" si="40"/>
        <v>-2.882095845727628E-4</v>
      </c>
      <c r="J1333" s="23">
        <v>42821</v>
      </c>
      <c r="K1333" s="22">
        <v>618.97469999999998</v>
      </c>
      <c r="L1333">
        <f t="shared" si="40"/>
        <v>-1.0121016433458641E-3</v>
      </c>
      <c r="M1333" s="23">
        <v>42788</v>
      </c>
      <c r="N1333" s="22">
        <v>828.23410000000001</v>
      </c>
      <c r="O1333">
        <f t="shared" si="41"/>
        <v>-4.5534010273085013E-4</v>
      </c>
    </row>
    <row r="1334" spans="7:15" x14ac:dyDescent="0.25">
      <c r="G1334" s="23">
        <v>42822</v>
      </c>
      <c r="H1334" s="22">
        <v>389.39089999999999</v>
      </c>
      <c r="I1334">
        <f t="shared" si="40"/>
        <v>-3.6915838306572635E-4</v>
      </c>
      <c r="J1334" s="23">
        <v>42822</v>
      </c>
      <c r="K1334" s="22">
        <v>595.19979999999998</v>
      </c>
      <c r="L1334">
        <f t="shared" si="40"/>
        <v>-3.841013211040778E-2</v>
      </c>
      <c r="M1334" s="23">
        <v>42789</v>
      </c>
      <c r="N1334" s="22">
        <v>828.25229999999999</v>
      </c>
      <c r="O1334">
        <f t="shared" si="41"/>
        <v>2.1974463500162855E-5</v>
      </c>
    </row>
    <row r="1335" spans="7:15" x14ac:dyDescent="0.25">
      <c r="G1335" s="23">
        <v>42823</v>
      </c>
      <c r="H1335" s="22">
        <v>389.13049999999998</v>
      </c>
      <c r="I1335">
        <f t="shared" si="40"/>
        <v>-6.6873673729916927E-4</v>
      </c>
      <c r="J1335" s="23">
        <v>42823</v>
      </c>
      <c r="K1335" s="22">
        <v>595.30449999999996</v>
      </c>
      <c r="L1335">
        <f t="shared" si="40"/>
        <v>1.7590731717320729E-4</v>
      </c>
      <c r="M1335" s="23">
        <v>42790</v>
      </c>
      <c r="N1335" s="22">
        <v>828.25379999999996</v>
      </c>
      <c r="O1335">
        <f t="shared" si="41"/>
        <v>1.8110423598560743E-6</v>
      </c>
    </row>
    <row r="1336" spans="7:15" x14ac:dyDescent="0.25">
      <c r="G1336" s="23">
        <v>42824</v>
      </c>
      <c r="H1336" s="22">
        <v>375.18709999999999</v>
      </c>
      <c r="I1336">
        <f t="shared" si="40"/>
        <v>-3.5832195111922593E-2</v>
      </c>
      <c r="J1336" s="23">
        <v>42824</v>
      </c>
      <c r="K1336" s="22">
        <v>595.14049999999997</v>
      </c>
      <c r="L1336">
        <f t="shared" si="40"/>
        <v>-2.7548926641740579E-4</v>
      </c>
      <c r="M1336" s="23">
        <v>42793</v>
      </c>
      <c r="N1336" s="22">
        <v>827.87300000000005</v>
      </c>
      <c r="O1336">
        <f t="shared" si="41"/>
        <v>-4.597624544552259E-4</v>
      </c>
    </row>
    <row r="1337" spans="7:15" x14ac:dyDescent="0.25">
      <c r="G1337" s="23">
        <v>42825</v>
      </c>
      <c r="H1337" s="22">
        <v>374.8356</v>
      </c>
      <c r="I1337">
        <f t="shared" si="40"/>
        <v>-9.3686589970709555E-4</v>
      </c>
      <c r="J1337" s="23">
        <v>42825</v>
      </c>
      <c r="K1337" s="22">
        <v>596.42629999999997</v>
      </c>
      <c r="L1337">
        <f t="shared" si="40"/>
        <v>2.160498235290742E-3</v>
      </c>
      <c r="M1337" s="23">
        <v>42794</v>
      </c>
      <c r="N1337" s="22">
        <v>824.30290000000002</v>
      </c>
      <c r="O1337">
        <f t="shared" si="41"/>
        <v>-4.3123764152230848E-3</v>
      </c>
    </row>
    <row r="1338" spans="7:15" x14ac:dyDescent="0.25">
      <c r="G1338" s="23">
        <v>42828</v>
      </c>
      <c r="H1338" s="22">
        <v>374.82780000000002</v>
      </c>
      <c r="I1338">
        <f t="shared" si="40"/>
        <v>-2.0809122719289697E-5</v>
      </c>
      <c r="J1338" s="23">
        <v>42828</v>
      </c>
      <c r="K1338" s="22">
        <v>596.54200000000003</v>
      </c>
      <c r="L1338">
        <f t="shared" si="40"/>
        <v>1.9398876273579724E-4</v>
      </c>
      <c r="M1338" s="23">
        <v>42795</v>
      </c>
      <c r="N1338" s="22">
        <v>824.1277</v>
      </c>
      <c r="O1338">
        <f t="shared" si="41"/>
        <v>-2.1254322895136735E-4</v>
      </c>
    </row>
    <row r="1339" spans="7:15" x14ac:dyDescent="0.25">
      <c r="G1339" s="23">
        <v>42829</v>
      </c>
      <c r="H1339" s="22">
        <v>374.66019999999997</v>
      </c>
      <c r="I1339">
        <f t="shared" si="40"/>
        <v>-4.4713865940582131E-4</v>
      </c>
      <c r="J1339" s="23">
        <v>42829</v>
      </c>
      <c r="K1339" s="22">
        <v>596.70339999999999</v>
      </c>
      <c r="L1339">
        <f t="shared" si="40"/>
        <v>2.7055932356812029E-4</v>
      </c>
      <c r="M1339" s="23">
        <v>42796</v>
      </c>
      <c r="N1339" s="22">
        <v>823.46339999999998</v>
      </c>
      <c r="O1339">
        <f t="shared" si="41"/>
        <v>-8.0606439997110702E-4</v>
      </c>
    </row>
    <row r="1340" spans="7:15" x14ac:dyDescent="0.25">
      <c r="G1340" s="23">
        <v>42830</v>
      </c>
      <c r="H1340" s="22">
        <v>374.2568</v>
      </c>
      <c r="I1340">
        <f t="shared" si="40"/>
        <v>-1.0767089752260484E-3</v>
      </c>
      <c r="J1340" s="23">
        <v>42830</v>
      </c>
      <c r="K1340" s="22">
        <v>597.024</v>
      </c>
      <c r="L1340">
        <f t="shared" si="40"/>
        <v>5.3728535818642342E-4</v>
      </c>
      <c r="M1340" s="23">
        <v>42797</v>
      </c>
      <c r="N1340" s="22">
        <v>822.95060000000001</v>
      </c>
      <c r="O1340">
        <f t="shared" si="41"/>
        <v>-6.227356309945753E-4</v>
      </c>
    </row>
    <row r="1341" spans="7:15" x14ac:dyDescent="0.25">
      <c r="G1341" s="23">
        <v>42831</v>
      </c>
      <c r="H1341" s="22">
        <v>374.15499999999997</v>
      </c>
      <c r="I1341">
        <f t="shared" si="40"/>
        <v>-2.720057457874514E-4</v>
      </c>
      <c r="J1341" s="23">
        <v>42831</v>
      </c>
      <c r="K1341" s="22">
        <v>596.96569999999997</v>
      </c>
      <c r="L1341">
        <f t="shared" si="40"/>
        <v>-9.7651015704580679E-5</v>
      </c>
      <c r="M1341" s="23">
        <v>42800</v>
      </c>
      <c r="N1341" s="22">
        <v>822.88379999999995</v>
      </c>
      <c r="O1341">
        <f t="shared" si="41"/>
        <v>-8.1171336408392136E-5</v>
      </c>
    </row>
    <row r="1342" spans="7:15" x14ac:dyDescent="0.25">
      <c r="G1342" s="23">
        <v>42832</v>
      </c>
      <c r="H1342" s="22">
        <v>374.29160000000002</v>
      </c>
      <c r="I1342">
        <f t="shared" si="40"/>
        <v>3.6508933463408333E-4</v>
      </c>
      <c r="J1342" s="23">
        <v>42832</v>
      </c>
      <c r="K1342" s="22">
        <v>596.98090000000002</v>
      </c>
      <c r="L1342">
        <f t="shared" si="40"/>
        <v>2.5462099413786632E-5</v>
      </c>
      <c r="M1342" s="23">
        <v>42801</v>
      </c>
      <c r="N1342" s="22">
        <v>818.52859999999998</v>
      </c>
      <c r="O1342">
        <f t="shared" si="41"/>
        <v>-5.292606319385551E-3</v>
      </c>
    </row>
    <row r="1343" spans="7:15" x14ac:dyDescent="0.25">
      <c r="G1343" s="23">
        <v>42835</v>
      </c>
      <c r="H1343" s="22">
        <v>374.31270000000001</v>
      </c>
      <c r="I1343">
        <f t="shared" si="40"/>
        <v>5.6373159322831157E-5</v>
      </c>
      <c r="J1343" s="23">
        <v>42835</v>
      </c>
      <c r="K1343" s="22">
        <v>596.96540000000005</v>
      </c>
      <c r="L1343">
        <f t="shared" si="40"/>
        <v>-2.5963979752074984E-5</v>
      </c>
      <c r="M1343" s="23">
        <v>42802</v>
      </c>
      <c r="N1343" s="22">
        <v>808.17460000000005</v>
      </c>
      <c r="O1343">
        <f t="shared" si="41"/>
        <v>-1.2649527456951359E-2</v>
      </c>
    </row>
    <row r="1344" spans="7:15" x14ac:dyDescent="0.25">
      <c r="G1344" s="23">
        <v>42836</v>
      </c>
      <c r="H1344" s="22">
        <v>374.1943</v>
      </c>
      <c r="I1344">
        <f t="shared" si="40"/>
        <v>-3.1631307193158431E-4</v>
      </c>
      <c r="J1344" s="23">
        <v>42836</v>
      </c>
      <c r="K1344" s="22">
        <v>596.63840000000005</v>
      </c>
      <c r="L1344">
        <f t="shared" si="40"/>
        <v>-5.4777044029685751E-4</v>
      </c>
      <c r="M1344" s="23">
        <v>42803</v>
      </c>
      <c r="N1344" s="22">
        <v>808.13369999999998</v>
      </c>
      <c r="O1344">
        <f t="shared" si="41"/>
        <v>-5.0607876070474234E-5</v>
      </c>
    </row>
    <row r="1345" spans="7:15" x14ac:dyDescent="0.25">
      <c r="G1345" s="23">
        <v>42837</v>
      </c>
      <c r="H1345" s="22">
        <v>374.18900000000002</v>
      </c>
      <c r="I1345">
        <f t="shared" si="40"/>
        <v>-1.4163764653796207E-5</v>
      </c>
      <c r="J1345" s="23">
        <v>42837</v>
      </c>
      <c r="K1345" s="22">
        <v>596.66600000000005</v>
      </c>
      <c r="L1345">
        <f t="shared" si="40"/>
        <v>4.6259174736329456E-5</v>
      </c>
      <c r="M1345" s="23">
        <v>42804</v>
      </c>
      <c r="N1345" s="22">
        <v>807.34529999999995</v>
      </c>
      <c r="O1345">
        <f t="shared" si="41"/>
        <v>-9.7558114455564837E-4</v>
      </c>
    </row>
    <row r="1346" spans="7:15" x14ac:dyDescent="0.25">
      <c r="G1346" s="23">
        <v>42838</v>
      </c>
      <c r="H1346" s="22">
        <v>374.15179999999998</v>
      </c>
      <c r="I1346">
        <f t="shared" si="40"/>
        <v>-9.9415001510005929E-5</v>
      </c>
      <c r="J1346" s="23">
        <v>42838</v>
      </c>
      <c r="K1346" s="22">
        <v>596.54600000000005</v>
      </c>
      <c r="L1346">
        <f t="shared" si="40"/>
        <v>-2.0111754314811048E-4</v>
      </c>
      <c r="M1346" s="23">
        <v>42807</v>
      </c>
      <c r="N1346" s="22">
        <v>806.94770000000005</v>
      </c>
      <c r="O1346">
        <f t="shared" si="41"/>
        <v>-4.9247824939324669E-4</v>
      </c>
    </row>
    <row r="1347" spans="7:15" x14ac:dyDescent="0.25">
      <c r="G1347" s="23">
        <v>42839</v>
      </c>
      <c r="H1347" s="22">
        <v>374.15179999999998</v>
      </c>
      <c r="I1347">
        <f t="shared" si="40"/>
        <v>0</v>
      </c>
      <c r="J1347" s="23">
        <v>42839</v>
      </c>
      <c r="K1347" s="22">
        <v>596.54600000000005</v>
      </c>
      <c r="L1347">
        <f t="shared" si="40"/>
        <v>0</v>
      </c>
      <c r="M1347" s="23">
        <v>42808</v>
      </c>
      <c r="N1347" s="22">
        <v>806.95619999999997</v>
      </c>
      <c r="O1347">
        <f t="shared" si="41"/>
        <v>1.0533520325983758E-5</v>
      </c>
    </row>
    <row r="1348" spans="7:15" x14ac:dyDescent="0.25">
      <c r="G1348" s="23">
        <v>42842</v>
      </c>
      <c r="H1348" s="22">
        <v>374.08049999999997</v>
      </c>
      <c r="I1348">
        <f t="shared" ref="I1348:L1411" si="42">H1348/H1347-1</f>
        <v>-1.9056436451736491E-4</v>
      </c>
      <c r="J1348" s="23">
        <v>42842</v>
      </c>
      <c r="K1348" s="22">
        <v>596.75130000000001</v>
      </c>
      <c r="L1348">
        <f t="shared" si="42"/>
        <v>3.4414781089808777E-4</v>
      </c>
      <c r="M1348" s="23">
        <v>42809</v>
      </c>
      <c r="N1348" s="22">
        <v>806.95479999999998</v>
      </c>
      <c r="O1348">
        <f t="shared" ref="O1348:O1411" si="43">N1348/N1347-1</f>
        <v>-1.7349144848521902E-6</v>
      </c>
    </row>
    <row r="1349" spans="7:15" x14ac:dyDescent="0.25">
      <c r="G1349" s="23">
        <v>42843</v>
      </c>
      <c r="H1349" s="22">
        <v>374.11419999999998</v>
      </c>
      <c r="I1349">
        <f t="shared" si="42"/>
        <v>9.0087561367191427E-5</v>
      </c>
      <c r="J1349" s="23">
        <v>42843</v>
      </c>
      <c r="K1349" s="22">
        <v>596.68880000000001</v>
      </c>
      <c r="L1349">
        <f t="shared" si="42"/>
        <v>-1.0473374754271791E-4</v>
      </c>
      <c r="M1349" s="23">
        <v>42810</v>
      </c>
      <c r="N1349" s="22">
        <v>806.80709999999999</v>
      </c>
      <c r="O1349">
        <f t="shared" si="43"/>
        <v>-1.8303379569706291E-4</v>
      </c>
    </row>
    <row r="1350" spans="7:15" x14ac:dyDescent="0.25">
      <c r="G1350" s="23">
        <v>42844</v>
      </c>
      <c r="H1350" s="22">
        <v>374.27510000000001</v>
      </c>
      <c r="I1350">
        <f t="shared" si="42"/>
        <v>4.3008257906285152E-4</v>
      </c>
      <c r="J1350" s="23">
        <v>42844</v>
      </c>
      <c r="K1350" s="22">
        <v>596.48739999999998</v>
      </c>
      <c r="L1350">
        <f t="shared" si="42"/>
        <v>-3.3752937879849565E-4</v>
      </c>
      <c r="M1350" s="23">
        <v>42811</v>
      </c>
      <c r="N1350" s="22">
        <v>806.81709999999998</v>
      </c>
      <c r="O1350">
        <f t="shared" si="43"/>
        <v>1.2394536438753434E-5</v>
      </c>
    </row>
    <row r="1351" spans="7:15" x14ac:dyDescent="0.25">
      <c r="G1351" s="23">
        <v>42845</v>
      </c>
      <c r="H1351" s="22">
        <v>374.1771</v>
      </c>
      <c r="I1351">
        <f t="shared" si="42"/>
        <v>-2.6183948651681277E-4</v>
      </c>
      <c r="J1351" s="23">
        <v>42845</v>
      </c>
      <c r="K1351" s="22">
        <v>596.43240000000003</v>
      </c>
      <c r="L1351">
        <f t="shared" si="42"/>
        <v>-9.2206474101463876E-5</v>
      </c>
      <c r="M1351" s="23">
        <v>42814</v>
      </c>
      <c r="N1351" s="22">
        <v>806.80859999999996</v>
      </c>
      <c r="O1351">
        <f t="shared" si="43"/>
        <v>-1.0535225393737413E-5</v>
      </c>
    </row>
    <row r="1352" spans="7:15" x14ac:dyDescent="0.25">
      <c r="G1352" s="23">
        <v>42846</v>
      </c>
      <c r="H1352" s="22">
        <v>374.03429999999997</v>
      </c>
      <c r="I1352">
        <f t="shared" si="42"/>
        <v>-3.8163746525377018E-4</v>
      </c>
      <c r="J1352" s="23">
        <v>42846</v>
      </c>
      <c r="K1352" s="22">
        <v>596.32349999999997</v>
      </c>
      <c r="L1352">
        <f t="shared" si="42"/>
        <v>-1.8258565430062657E-4</v>
      </c>
      <c r="M1352" s="23">
        <v>42815</v>
      </c>
      <c r="N1352" s="22">
        <v>806.57960000000003</v>
      </c>
      <c r="O1352">
        <f t="shared" si="43"/>
        <v>-2.8383435674816937E-4</v>
      </c>
    </row>
    <row r="1353" spans="7:15" x14ac:dyDescent="0.25">
      <c r="G1353" s="23">
        <v>42849</v>
      </c>
      <c r="H1353" s="22">
        <v>374.05840000000001</v>
      </c>
      <c r="I1353">
        <f t="shared" si="42"/>
        <v>6.4432593481544842E-5</v>
      </c>
      <c r="J1353" s="23">
        <v>42849</v>
      </c>
      <c r="K1353" s="22">
        <v>596.47540000000004</v>
      </c>
      <c r="L1353">
        <f t="shared" si="42"/>
        <v>2.5472750948107858E-4</v>
      </c>
      <c r="M1353" s="23">
        <v>42816</v>
      </c>
      <c r="N1353" s="22">
        <v>806.34699999999998</v>
      </c>
      <c r="O1353">
        <f t="shared" si="43"/>
        <v>-2.883782332209206E-4</v>
      </c>
    </row>
    <row r="1354" spans="7:15" x14ac:dyDescent="0.25">
      <c r="G1354" s="23">
        <v>42850</v>
      </c>
      <c r="H1354" s="22">
        <v>374.02710000000002</v>
      </c>
      <c r="I1354">
        <f t="shared" si="42"/>
        <v>-8.3676773466323517E-5</v>
      </c>
      <c r="J1354" s="23">
        <v>42850</v>
      </c>
      <c r="K1354" s="22">
        <v>596.34910000000002</v>
      </c>
      <c r="L1354">
        <f t="shared" si="42"/>
        <v>-2.1174385397959572E-4</v>
      </c>
      <c r="M1354" s="23">
        <v>42817</v>
      </c>
      <c r="N1354" s="22">
        <v>806.00580000000002</v>
      </c>
      <c r="O1354">
        <f t="shared" si="43"/>
        <v>-4.231428900955958E-4</v>
      </c>
    </row>
    <row r="1355" spans="7:15" x14ac:dyDescent="0.25">
      <c r="G1355" s="23">
        <v>42851</v>
      </c>
      <c r="H1355" s="22">
        <v>374.42540000000002</v>
      </c>
      <c r="I1355">
        <f t="shared" si="42"/>
        <v>1.0648960997745593E-3</v>
      </c>
      <c r="J1355" s="23">
        <v>42851</v>
      </c>
      <c r="K1355" s="22">
        <v>596.70349999999996</v>
      </c>
      <c r="L1355">
        <f t="shared" si="42"/>
        <v>5.942827783256277E-4</v>
      </c>
      <c r="M1355" s="23">
        <v>42818</v>
      </c>
      <c r="N1355" s="22">
        <v>805.85810000000004</v>
      </c>
      <c r="O1355">
        <f t="shared" si="43"/>
        <v>-1.8324930167989972E-4</v>
      </c>
    </row>
    <row r="1356" spans="7:15" x14ac:dyDescent="0.25">
      <c r="G1356" s="23">
        <v>42852</v>
      </c>
      <c r="H1356" s="22">
        <v>374.35309999999998</v>
      </c>
      <c r="I1356">
        <f t="shared" si="42"/>
        <v>-1.9309587437188469E-4</v>
      </c>
      <c r="J1356" s="23">
        <v>42852</v>
      </c>
      <c r="K1356" s="22">
        <v>596.6164</v>
      </c>
      <c r="L1356">
        <f t="shared" si="42"/>
        <v>-1.4596864271776422E-4</v>
      </c>
      <c r="M1356" s="23">
        <v>42821</v>
      </c>
      <c r="N1356" s="22">
        <v>802.35720000000003</v>
      </c>
      <c r="O1356">
        <f t="shared" si="43"/>
        <v>-4.3443132233825787E-3</v>
      </c>
    </row>
    <row r="1357" spans="7:15" x14ac:dyDescent="0.25">
      <c r="G1357" s="23">
        <v>42853</v>
      </c>
      <c r="H1357" s="22">
        <v>373.37830000000002</v>
      </c>
      <c r="I1357">
        <f t="shared" si="42"/>
        <v>-2.6039586689677874E-3</v>
      </c>
      <c r="J1357" s="23">
        <v>42853</v>
      </c>
      <c r="K1357" s="22">
        <v>597.91189999999995</v>
      </c>
      <c r="L1357">
        <f t="shared" si="42"/>
        <v>2.171411982640592E-3</v>
      </c>
      <c r="M1357" s="23">
        <v>42822</v>
      </c>
      <c r="N1357" s="22">
        <v>802.36350000000004</v>
      </c>
      <c r="O1357">
        <f t="shared" si="43"/>
        <v>7.851864481267512E-6</v>
      </c>
    </row>
    <row r="1358" spans="7:15" x14ac:dyDescent="0.25">
      <c r="G1358" s="23">
        <v>42856</v>
      </c>
      <c r="H1358" s="22">
        <v>373.6977</v>
      </c>
      <c r="I1358">
        <f t="shared" si="42"/>
        <v>8.5543268047438836E-4</v>
      </c>
      <c r="J1358" s="23">
        <v>42856</v>
      </c>
      <c r="K1358" s="22">
        <v>598.11279999999999</v>
      </c>
      <c r="L1358">
        <f t="shared" si="42"/>
        <v>3.360026786556336E-4</v>
      </c>
      <c r="M1358" s="23">
        <v>42823</v>
      </c>
      <c r="N1358" s="22">
        <v>801.63670000000002</v>
      </c>
      <c r="O1358">
        <f t="shared" si="43"/>
        <v>-9.0582385664350618E-4</v>
      </c>
    </row>
    <row r="1359" spans="7:15" x14ac:dyDescent="0.25">
      <c r="G1359" s="23">
        <v>42857</v>
      </c>
      <c r="H1359" s="22">
        <v>374.077</v>
      </c>
      <c r="I1359">
        <f t="shared" si="42"/>
        <v>1.0149915292494427E-3</v>
      </c>
      <c r="J1359" s="23">
        <v>42857</v>
      </c>
      <c r="K1359" s="22">
        <v>598.13879999999995</v>
      </c>
      <c r="L1359">
        <f t="shared" si="42"/>
        <v>4.3470061165562512E-5</v>
      </c>
      <c r="M1359" s="23">
        <v>42824</v>
      </c>
      <c r="N1359" s="22">
        <v>793.86519999999996</v>
      </c>
      <c r="O1359">
        <f t="shared" si="43"/>
        <v>-9.6945411805623438E-3</v>
      </c>
    </row>
    <row r="1360" spans="7:15" x14ac:dyDescent="0.25">
      <c r="G1360" s="23">
        <v>42858</v>
      </c>
      <c r="H1360" s="22">
        <v>374.12450000000001</v>
      </c>
      <c r="I1360">
        <f t="shared" si="42"/>
        <v>1.2697920481619107E-4</v>
      </c>
      <c r="J1360" s="23">
        <v>42858</v>
      </c>
      <c r="K1360" s="22">
        <v>597.95339999999999</v>
      </c>
      <c r="L1360">
        <f t="shared" si="42"/>
        <v>-3.0996150057471805E-4</v>
      </c>
      <c r="M1360" s="23">
        <v>42825</v>
      </c>
      <c r="N1360" s="22">
        <v>793.98320000000001</v>
      </c>
      <c r="O1360">
        <f t="shared" si="43"/>
        <v>1.4863984464885682E-4</v>
      </c>
    </row>
    <row r="1361" spans="7:15" x14ac:dyDescent="0.25">
      <c r="G1361" s="23">
        <v>42859</v>
      </c>
      <c r="H1361" s="22">
        <v>373.82040000000001</v>
      </c>
      <c r="I1361">
        <f t="shared" si="42"/>
        <v>-8.128310228280311E-4</v>
      </c>
      <c r="J1361" s="23">
        <v>42859</v>
      </c>
      <c r="K1361" s="22">
        <v>597.53369999999995</v>
      </c>
      <c r="L1361">
        <f t="shared" si="42"/>
        <v>-7.0189416098320745E-4</v>
      </c>
      <c r="M1361" s="23">
        <v>42828</v>
      </c>
      <c r="N1361" s="22">
        <v>793.54480000000001</v>
      </c>
      <c r="O1361">
        <f t="shared" si="43"/>
        <v>-5.5215274076325649E-4</v>
      </c>
    </row>
    <row r="1362" spans="7:15" x14ac:dyDescent="0.25">
      <c r="G1362" s="23">
        <v>42860</v>
      </c>
      <c r="H1362" s="22">
        <v>373.99579999999997</v>
      </c>
      <c r="I1362">
        <f t="shared" si="42"/>
        <v>4.6920927803828505E-4</v>
      </c>
      <c r="J1362" s="23">
        <v>42860</v>
      </c>
      <c r="K1362" s="22">
        <v>597.56960000000004</v>
      </c>
      <c r="L1362">
        <f t="shared" si="42"/>
        <v>6.0080293379449756E-5</v>
      </c>
      <c r="M1362" s="23">
        <v>42829</v>
      </c>
      <c r="N1362" s="22">
        <v>793.1431</v>
      </c>
      <c r="O1362">
        <f t="shared" si="43"/>
        <v>-5.0620960530523007E-4</v>
      </c>
    </row>
    <row r="1363" spans="7:15" x14ac:dyDescent="0.25">
      <c r="G1363" s="23">
        <v>42863</v>
      </c>
      <c r="H1363" s="22">
        <v>374.03339999999997</v>
      </c>
      <c r="I1363">
        <f t="shared" si="42"/>
        <v>1.0053588837100058E-4</v>
      </c>
      <c r="J1363" s="23">
        <v>42863</v>
      </c>
      <c r="K1363" s="22">
        <v>597.6866</v>
      </c>
      <c r="L1363">
        <f t="shared" si="42"/>
        <v>1.9579309255357558E-4</v>
      </c>
      <c r="M1363" s="23">
        <v>42830</v>
      </c>
      <c r="N1363" s="22">
        <v>793.81799999999998</v>
      </c>
      <c r="O1363">
        <f t="shared" si="43"/>
        <v>8.5091832734840445E-4</v>
      </c>
    </row>
    <row r="1364" spans="7:15" x14ac:dyDescent="0.25">
      <c r="G1364" s="23">
        <v>42864</v>
      </c>
      <c r="H1364" s="22">
        <v>371.76299999999998</v>
      </c>
      <c r="I1364">
        <f t="shared" si="42"/>
        <v>-6.0700461509587411E-3</v>
      </c>
      <c r="J1364" s="23">
        <v>42864</v>
      </c>
      <c r="K1364" s="22">
        <v>596.4511</v>
      </c>
      <c r="L1364">
        <f t="shared" si="42"/>
        <v>-2.0671368573429438E-3</v>
      </c>
      <c r="M1364" s="23">
        <v>42831</v>
      </c>
      <c r="N1364" s="22">
        <v>793.32050000000004</v>
      </c>
      <c r="O1364">
        <f t="shared" si="43"/>
        <v>-6.2671796305946437E-4</v>
      </c>
    </row>
    <row r="1365" spans="7:15" x14ac:dyDescent="0.25">
      <c r="G1365" s="23">
        <v>42865</v>
      </c>
      <c r="H1365" s="22">
        <v>371.7056</v>
      </c>
      <c r="I1365">
        <f t="shared" si="42"/>
        <v>-1.5439944265560612E-4</v>
      </c>
      <c r="J1365" s="23">
        <v>42865</v>
      </c>
      <c r="K1365" s="22">
        <v>596.15110000000004</v>
      </c>
      <c r="L1365">
        <f t="shared" si="42"/>
        <v>-5.0297501337481787E-4</v>
      </c>
      <c r="M1365" s="23">
        <v>42832</v>
      </c>
      <c r="N1365" s="22">
        <v>793.32399999999996</v>
      </c>
      <c r="O1365">
        <f t="shared" si="43"/>
        <v>4.4118360738032436E-6</v>
      </c>
    </row>
    <row r="1366" spans="7:15" x14ac:dyDescent="0.25">
      <c r="G1366" s="23">
        <v>42866</v>
      </c>
      <c r="H1366" s="22">
        <v>371.65159999999997</v>
      </c>
      <c r="I1366">
        <f t="shared" si="42"/>
        <v>-1.4527626164373419E-4</v>
      </c>
      <c r="J1366" s="23">
        <v>42866</v>
      </c>
      <c r="K1366" s="22">
        <v>595.87630000000001</v>
      </c>
      <c r="L1366">
        <f t="shared" si="42"/>
        <v>-4.6095696208570125E-4</v>
      </c>
      <c r="M1366" s="23">
        <v>42835</v>
      </c>
      <c r="N1366" s="22">
        <v>793.32270000000005</v>
      </c>
      <c r="O1366">
        <f t="shared" si="43"/>
        <v>-1.6386747405672253E-6</v>
      </c>
    </row>
    <row r="1367" spans="7:15" x14ac:dyDescent="0.25">
      <c r="G1367" s="23">
        <v>42867</v>
      </c>
      <c r="H1367" s="22">
        <v>371.66070000000002</v>
      </c>
      <c r="I1367">
        <f t="shared" si="42"/>
        <v>2.4485297520637772E-5</v>
      </c>
      <c r="J1367" s="23">
        <v>42867</v>
      </c>
      <c r="K1367" s="22">
        <v>595.86159999999995</v>
      </c>
      <c r="L1367">
        <f t="shared" si="42"/>
        <v>-2.4669549703593141E-5</v>
      </c>
      <c r="M1367" s="23">
        <v>42836</v>
      </c>
      <c r="N1367" s="22">
        <v>792.84690000000001</v>
      </c>
      <c r="O1367">
        <f t="shared" si="43"/>
        <v>-5.9975593790528858E-4</v>
      </c>
    </row>
    <row r="1368" spans="7:15" x14ac:dyDescent="0.25">
      <c r="G1368" s="23">
        <v>42870</v>
      </c>
      <c r="H1368" s="22">
        <v>371.63780000000003</v>
      </c>
      <c r="I1368">
        <f t="shared" si="42"/>
        <v>-6.1615338936782393E-5</v>
      </c>
      <c r="J1368" s="23">
        <v>42870</v>
      </c>
      <c r="K1368" s="22">
        <v>596.03489999999999</v>
      </c>
      <c r="L1368">
        <f t="shared" si="42"/>
        <v>2.9083934927176536E-4</v>
      </c>
      <c r="M1368" s="23">
        <v>42837</v>
      </c>
      <c r="N1368" s="22">
        <v>792.72310000000004</v>
      </c>
      <c r="O1368">
        <f t="shared" si="43"/>
        <v>-1.5614616138370785E-4</v>
      </c>
    </row>
    <row r="1369" spans="7:15" x14ac:dyDescent="0.25">
      <c r="G1369" s="23">
        <v>42871</v>
      </c>
      <c r="H1369" s="22">
        <v>371.67099999999999</v>
      </c>
      <c r="I1369">
        <f t="shared" si="42"/>
        <v>8.9334292690201877E-5</v>
      </c>
      <c r="J1369" s="23">
        <v>42871</v>
      </c>
      <c r="K1369" s="22">
        <v>596.06830000000002</v>
      </c>
      <c r="L1369">
        <f t="shared" si="42"/>
        <v>5.6036987095886559E-5</v>
      </c>
      <c r="M1369" s="23">
        <v>42838</v>
      </c>
      <c r="N1369" s="22">
        <v>791.81560000000002</v>
      </c>
      <c r="O1369">
        <f t="shared" si="43"/>
        <v>-1.1447881359835099E-3</v>
      </c>
    </row>
    <row r="1370" spans="7:15" x14ac:dyDescent="0.25">
      <c r="G1370" s="23">
        <v>42872</v>
      </c>
      <c r="H1370" s="22">
        <v>371.72480000000002</v>
      </c>
      <c r="I1370">
        <f t="shared" si="42"/>
        <v>1.4475167554106605E-4</v>
      </c>
      <c r="J1370" s="23">
        <v>42872</v>
      </c>
      <c r="K1370" s="22">
        <v>596.04290000000003</v>
      </c>
      <c r="L1370">
        <f t="shared" si="42"/>
        <v>-4.261256637871913E-5</v>
      </c>
      <c r="M1370" s="23">
        <v>42839</v>
      </c>
      <c r="N1370" s="22">
        <v>791.81560000000002</v>
      </c>
      <c r="O1370">
        <f t="shared" si="43"/>
        <v>0</v>
      </c>
    </row>
    <row r="1371" spans="7:15" x14ac:dyDescent="0.25">
      <c r="G1371" s="23">
        <v>42873</v>
      </c>
      <c r="H1371" s="22">
        <v>371.65699999999998</v>
      </c>
      <c r="I1371">
        <f t="shared" si="42"/>
        <v>-1.8239299610900428E-4</v>
      </c>
      <c r="J1371" s="23">
        <v>42873</v>
      </c>
      <c r="K1371" s="22">
        <v>596.03819999999996</v>
      </c>
      <c r="L1371">
        <f t="shared" si="42"/>
        <v>-7.8853384547494798E-6</v>
      </c>
      <c r="M1371" s="23">
        <v>42842</v>
      </c>
      <c r="N1371" s="22">
        <v>791.80510000000004</v>
      </c>
      <c r="O1371">
        <f t="shared" si="43"/>
        <v>-1.3260663214942348E-5</v>
      </c>
    </row>
    <row r="1372" spans="7:15" x14ac:dyDescent="0.25">
      <c r="G1372" s="23">
        <v>42874</v>
      </c>
      <c r="H1372" s="22">
        <v>371.6764</v>
      </c>
      <c r="I1372">
        <f t="shared" si="42"/>
        <v>5.2198667050529224E-5</v>
      </c>
      <c r="J1372" s="23">
        <v>42874</v>
      </c>
      <c r="K1372" s="22">
        <v>595.97649999999999</v>
      </c>
      <c r="L1372">
        <f t="shared" si="42"/>
        <v>-1.0351685512766107E-4</v>
      </c>
      <c r="M1372" s="23">
        <v>42843</v>
      </c>
      <c r="N1372" s="22">
        <v>791.78679999999997</v>
      </c>
      <c r="O1372">
        <f t="shared" si="43"/>
        <v>-2.3111748080562045E-5</v>
      </c>
    </row>
    <row r="1373" spans="7:15" x14ac:dyDescent="0.25">
      <c r="G1373" s="23">
        <v>42877</v>
      </c>
      <c r="H1373" s="22">
        <v>371.67239999999998</v>
      </c>
      <c r="I1373">
        <f t="shared" si="42"/>
        <v>-1.0762049998391809E-5</v>
      </c>
      <c r="J1373" s="23">
        <v>42877</v>
      </c>
      <c r="K1373" s="22">
        <v>596.17740000000003</v>
      </c>
      <c r="L1373">
        <f t="shared" si="42"/>
        <v>3.3709382836422108E-4</v>
      </c>
      <c r="M1373" s="23">
        <v>42844</v>
      </c>
      <c r="N1373" s="22">
        <v>791.76909999999998</v>
      </c>
      <c r="O1373">
        <f t="shared" si="43"/>
        <v>-2.2354502499877249E-5</v>
      </c>
    </row>
    <row r="1374" spans="7:15" x14ac:dyDescent="0.25">
      <c r="G1374" s="23">
        <v>42878</v>
      </c>
      <c r="H1374" s="22">
        <v>371.7199</v>
      </c>
      <c r="I1374">
        <f t="shared" si="42"/>
        <v>1.278007191278796E-4</v>
      </c>
      <c r="J1374" s="23">
        <v>42878</v>
      </c>
      <c r="K1374" s="22">
        <v>595.89229999999998</v>
      </c>
      <c r="L1374">
        <f t="shared" si="42"/>
        <v>-4.782133640088837E-4</v>
      </c>
      <c r="M1374" s="23">
        <v>42845</v>
      </c>
      <c r="N1374" s="22">
        <v>792.00699999999995</v>
      </c>
      <c r="O1374">
        <f t="shared" si="43"/>
        <v>3.0046638597025499E-4</v>
      </c>
    </row>
    <row r="1375" spans="7:15" x14ac:dyDescent="0.25">
      <c r="G1375" s="23">
        <v>42879</v>
      </c>
      <c r="H1375" s="22">
        <v>371.72919999999999</v>
      </c>
      <c r="I1375">
        <f t="shared" si="42"/>
        <v>2.5018838109014396E-5</v>
      </c>
      <c r="J1375" s="23">
        <v>42879</v>
      </c>
      <c r="K1375" s="22">
        <v>595.6123</v>
      </c>
      <c r="L1375">
        <f t="shared" si="42"/>
        <v>-4.6988356788635333E-4</v>
      </c>
      <c r="M1375" s="23">
        <v>42846</v>
      </c>
      <c r="N1375" s="22">
        <v>792.00440000000003</v>
      </c>
      <c r="O1375">
        <f t="shared" si="43"/>
        <v>-3.282799268089498E-6</v>
      </c>
    </row>
    <row r="1376" spans="7:15" x14ac:dyDescent="0.25">
      <c r="G1376" s="23">
        <v>42880</v>
      </c>
      <c r="H1376" s="22">
        <v>371.8338</v>
      </c>
      <c r="I1376">
        <f t="shared" si="42"/>
        <v>2.8138763379370602E-4</v>
      </c>
      <c r="J1376" s="23">
        <v>42880</v>
      </c>
      <c r="K1376" s="22">
        <v>595.54420000000005</v>
      </c>
      <c r="L1376">
        <f t="shared" si="42"/>
        <v>-1.1433612099676083E-4</v>
      </c>
      <c r="M1376" s="23">
        <v>42849</v>
      </c>
      <c r="N1376" s="22">
        <v>791.98689999999999</v>
      </c>
      <c r="O1376">
        <f t="shared" si="43"/>
        <v>-2.2095836841318217E-5</v>
      </c>
    </row>
    <row r="1377" spans="7:15" x14ac:dyDescent="0.25">
      <c r="G1377" s="23">
        <v>42881</v>
      </c>
      <c r="H1377" s="22">
        <v>371.85750000000002</v>
      </c>
      <c r="I1377">
        <f t="shared" si="42"/>
        <v>6.3738153981640622E-5</v>
      </c>
      <c r="J1377" s="23">
        <v>42881</v>
      </c>
      <c r="K1377" s="22">
        <v>595.43880000000001</v>
      </c>
      <c r="L1377">
        <f t="shared" si="42"/>
        <v>-1.7698098646590221E-4</v>
      </c>
      <c r="M1377" s="23">
        <v>42850</v>
      </c>
      <c r="N1377" s="22">
        <v>791.95450000000005</v>
      </c>
      <c r="O1377">
        <f t="shared" si="43"/>
        <v>-4.0909767573094058E-5</v>
      </c>
    </row>
    <row r="1378" spans="7:15" x14ac:dyDescent="0.25">
      <c r="G1378" s="23">
        <v>42884</v>
      </c>
      <c r="H1378" s="22">
        <v>371.85750000000002</v>
      </c>
      <c r="I1378">
        <f t="shared" si="42"/>
        <v>0</v>
      </c>
      <c r="J1378" s="23">
        <v>42884</v>
      </c>
      <c r="K1378" s="22">
        <v>595.43880000000001</v>
      </c>
      <c r="L1378">
        <f t="shared" si="42"/>
        <v>0</v>
      </c>
      <c r="M1378" s="23">
        <v>42851</v>
      </c>
      <c r="N1378" s="22">
        <v>792.23710000000005</v>
      </c>
      <c r="O1378">
        <f t="shared" si="43"/>
        <v>3.5683868202029956E-4</v>
      </c>
    </row>
    <row r="1379" spans="7:15" x14ac:dyDescent="0.25">
      <c r="G1379" s="23">
        <v>42885</v>
      </c>
      <c r="H1379" s="22">
        <v>371.81040000000002</v>
      </c>
      <c r="I1379">
        <f t="shared" si="42"/>
        <v>-1.2666142272244052E-4</v>
      </c>
      <c r="J1379" s="23">
        <v>42885</v>
      </c>
      <c r="K1379" s="22">
        <v>595.63480000000004</v>
      </c>
      <c r="L1379">
        <f t="shared" si="42"/>
        <v>3.2916900947665972E-4</v>
      </c>
      <c r="M1379" s="23">
        <v>42852</v>
      </c>
      <c r="N1379" s="22">
        <v>791.69069999999999</v>
      </c>
      <c r="O1379">
        <f t="shared" si="43"/>
        <v>-6.8969251755579553E-4</v>
      </c>
    </row>
    <row r="1380" spans="7:15" x14ac:dyDescent="0.25">
      <c r="G1380" s="23">
        <v>42886</v>
      </c>
      <c r="H1380" s="22">
        <v>372.37810000000002</v>
      </c>
      <c r="I1380">
        <f t="shared" si="42"/>
        <v>1.5268534715542348E-3</v>
      </c>
      <c r="J1380" s="23">
        <v>42886</v>
      </c>
      <c r="K1380" s="22">
        <v>598.78570000000002</v>
      </c>
      <c r="L1380">
        <f t="shared" si="42"/>
        <v>5.2899864144941855E-3</v>
      </c>
      <c r="M1380" s="23">
        <v>42853</v>
      </c>
      <c r="N1380" s="22">
        <v>792.20889999999997</v>
      </c>
      <c r="O1380">
        <f t="shared" si="43"/>
        <v>6.5454855033664217E-4</v>
      </c>
    </row>
    <row r="1381" spans="7:15" x14ac:dyDescent="0.25">
      <c r="G1381" s="23">
        <v>42887</v>
      </c>
      <c r="H1381" s="22">
        <v>372.23779999999999</v>
      </c>
      <c r="I1381">
        <f t="shared" si="42"/>
        <v>-3.7676759186433539E-4</v>
      </c>
      <c r="J1381" s="23">
        <v>42887</v>
      </c>
      <c r="K1381" s="22">
        <v>598.15250000000003</v>
      </c>
      <c r="L1381">
        <f t="shared" si="42"/>
        <v>-1.0574734834182253E-3</v>
      </c>
      <c r="M1381" s="23">
        <v>42856</v>
      </c>
      <c r="N1381" s="22">
        <v>792.71190000000001</v>
      </c>
      <c r="O1381">
        <f t="shared" si="43"/>
        <v>6.3493353836352462E-4</v>
      </c>
    </row>
    <row r="1382" spans="7:15" x14ac:dyDescent="0.25">
      <c r="G1382" s="23">
        <v>42888</v>
      </c>
      <c r="H1382" s="22">
        <v>372.3109</v>
      </c>
      <c r="I1382">
        <f t="shared" si="42"/>
        <v>1.9637984105869144E-4</v>
      </c>
      <c r="J1382" s="23">
        <v>42888</v>
      </c>
      <c r="K1382" s="22">
        <v>597.77890000000002</v>
      </c>
      <c r="L1382">
        <f t="shared" si="42"/>
        <v>-6.2458988301483664E-4</v>
      </c>
      <c r="M1382" s="23">
        <v>42857</v>
      </c>
      <c r="N1382" s="22">
        <v>792.54740000000004</v>
      </c>
      <c r="O1382">
        <f t="shared" si="43"/>
        <v>-2.0751549207220776E-4</v>
      </c>
    </row>
    <row r="1383" spans="7:15" x14ac:dyDescent="0.25">
      <c r="G1383" s="23">
        <v>42891</v>
      </c>
      <c r="H1383" s="22">
        <v>372.34570000000002</v>
      </c>
      <c r="I1383">
        <f t="shared" si="42"/>
        <v>9.3470269068252065E-5</v>
      </c>
      <c r="J1383" s="23">
        <v>42891</v>
      </c>
      <c r="K1383" s="22">
        <v>597.67340000000002</v>
      </c>
      <c r="L1383">
        <f t="shared" si="42"/>
        <v>-1.7648665752501014E-4</v>
      </c>
      <c r="M1383" s="23">
        <v>42858</v>
      </c>
      <c r="N1383" s="22">
        <v>792.71770000000004</v>
      </c>
      <c r="O1383">
        <f t="shared" si="43"/>
        <v>2.1487673797171425E-4</v>
      </c>
    </row>
    <row r="1384" spans="7:15" x14ac:dyDescent="0.25">
      <c r="G1384" s="23">
        <v>42892</v>
      </c>
      <c r="H1384" s="22">
        <v>372.00200000000001</v>
      </c>
      <c r="I1384">
        <f t="shared" si="42"/>
        <v>-9.2306692409771518E-4</v>
      </c>
      <c r="J1384" s="23">
        <v>42892</v>
      </c>
      <c r="K1384" s="22">
        <v>596.01099999999997</v>
      </c>
      <c r="L1384">
        <f t="shared" si="42"/>
        <v>-2.7814522111909712E-3</v>
      </c>
      <c r="M1384" s="23">
        <v>42859</v>
      </c>
      <c r="N1384" s="22">
        <v>792.68269999999995</v>
      </c>
      <c r="O1384">
        <f t="shared" si="43"/>
        <v>-4.4151909311618276E-5</v>
      </c>
    </row>
    <row r="1385" spans="7:15" x14ac:dyDescent="0.25">
      <c r="G1385" s="23">
        <v>42893</v>
      </c>
      <c r="H1385" s="22">
        <v>371.89620000000002</v>
      </c>
      <c r="I1385">
        <f t="shared" si="42"/>
        <v>-2.8440707308019508E-4</v>
      </c>
      <c r="J1385" s="23">
        <v>42893</v>
      </c>
      <c r="K1385" s="22">
        <v>595.26070000000004</v>
      </c>
      <c r="L1385">
        <f t="shared" si="42"/>
        <v>-1.2588693832831233E-3</v>
      </c>
      <c r="M1385" s="23">
        <v>42860</v>
      </c>
      <c r="N1385" s="22">
        <v>792.41849999999999</v>
      </c>
      <c r="O1385">
        <f t="shared" si="43"/>
        <v>-3.3329855691310861E-4</v>
      </c>
    </row>
    <row r="1386" spans="7:15" x14ac:dyDescent="0.25">
      <c r="G1386" s="23">
        <v>42894</v>
      </c>
      <c r="H1386" s="22">
        <v>371.82799999999997</v>
      </c>
      <c r="I1386">
        <f t="shared" si="42"/>
        <v>-1.8338450352561875E-4</v>
      </c>
      <c r="J1386" s="23">
        <v>42894</v>
      </c>
      <c r="K1386" s="22">
        <v>594.61670000000004</v>
      </c>
      <c r="L1386">
        <f t="shared" si="42"/>
        <v>-1.0818789145663477E-3</v>
      </c>
      <c r="M1386" s="23">
        <v>42863</v>
      </c>
      <c r="N1386" s="22">
        <v>792.654</v>
      </c>
      <c r="O1386">
        <f t="shared" si="43"/>
        <v>2.9719144618667315E-4</v>
      </c>
    </row>
    <row r="1387" spans="7:15" x14ac:dyDescent="0.25">
      <c r="G1387" s="23">
        <v>42895</v>
      </c>
      <c r="H1387" s="22">
        <v>371.74549999999999</v>
      </c>
      <c r="I1387">
        <f t="shared" si="42"/>
        <v>-2.2187678173779535E-4</v>
      </c>
      <c r="J1387" s="23">
        <v>42895</v>
      </c>
      <c r="K1387" s="22">
        <v>594.35320000000002</v>
      </c>
      <c r="L1387">
        <f t="shared" si="42"/>
        <v>-4.4314261607525385E-4</v>
      </c>
      <c r="M1387" s="23">
        <v>42864</v>
      </c>
      <c r="N1387" s="22">
        <v>790.84780000000001</v>
      </c>
      <c r="O1387">
        <f t="shared" si="43"/>
        <v>-2.2786739233007225E-3</v>
      </c>
    </row>
    <row r="1388" spans="7:15" x14ac:dyDescent="0.25">
      <c r="G1388" s="23">
        <v>42898</v>
      </c>
      <c r="H1388" s="22">
        <v>371.75200000000001</v>
      </c>
      <c r="I1388">
        <f t="shared" si="42"/>
        <v>1.7485080518797602E-5</v>
      </c>
      <c r="J1388" s="23">
        <v>42898</v>
      </c>
      <c r="K1388" s="22">
        <v>585.875</v>
      </c>
      <c r="L1388">
        <f t="shared" si="42"/>
        <v>-1.4264582070055321E-2</v>
      </c>
      <c r="M1388" s="23">
        <v>42865</v>
      </c>
      <c r="N1388" s="22">
        <v>790.32150000000001</v>
      </c>
      <c r="O1388">
        <f t="shared" si="43"/>
        <v>-6.6548835313195998E-4</v>
      </c>
    </row>
    <row r="1389" spans="7:15" x14ac:dyDescent="0.25">
      <c r="G1389" s="23">
        <v>42899</v>
      </c>
      <c r="H1389" s="22">
        <v>371.6651</v>
      </c>
      <c r="I1389">
        <f t="shared" si="42"/>
        <v>-2.3375798919711421E-4</v>
      </c>
      <c r="J1389" s="23">
        <v>42899</v>
      </c>
      <c r="K1389" s="22">
        <v>586.0145</v>
      </c>
      <c r="L1389">
        <f t="shared" si="42"/>
        <v>2.3810539790902752E-4</v>
      </c>
      <c r="M1389" s="23">
        <v>42866</v>
      </c>
      <c r="N1389" s="22">
        <v>790.37710000000004</v>
      </c>
      <c r="O1389">
        <f t="shared" si="43"/>
        <v>7.0351116602473951E-5</v>
      </c>
    </row>
    <row r="1390" spans="7:15" x14ac:dyDescent="0.25">
      <c r="G1390" s="23">
        <v>42900</v>
      </c>
      <c r="H1390" s="22">
        <v>371.68759999999997</v>
      </c>
      <c r="I1390">
        <f t="shared" si="42"/>
        <v>6.0538371775997746E-5</v>
      </c>
      <c r="J1390" s="23">
        <v>42900</v>
      </c>
      <c r="K1390" s="22">
        <v>585.95680000000004</v>
      </c>
      <c r="L1390">
        <f t="shared" si="42"/>
        <v>-9.8461727482734851E-5</v>
      </c>
      <c r="M1390" s="23">
        <v>42867</v>
      </c>
      <c r="N1390" s="22">
        <v>790.38019999999995</v>
      </c>
      <c r="O1390">
        <f t="shared" si="43"/>
        <v>3.9221784131626691E-6</v>
      </c>
    </row>
    <row r="1391" spans="7:15" x14ac:dyDescent="0.25">
      <c r="G1391" s="23">
        <v>42901</v>
      </c>
      <c r="H1391" s="22">
        <v>366.28550000000001</v>
      </c>
      <c r="I1391">
        <f t="shared" si="42"/>
        <v>-1.4533979610834358E-2</v>
      </c>
      <c r="J1391" s="23">
        <v>42901</v>
      </c>
      <c r="K1391" s="22">
        <v>585.97289999999998</v>
      </c>
      <c r="L1391">
        <f t="shared" si="42"/>
        <v>2.7476428296369093E-5</v>
      </c>
      <c r="M1391" s="23">
        <v>42870</v>
      </c>
      <c r="N1391" s="22">
        <v>790.64440000000002</v>
      </c>
      <c r="O1391">
        <f t="shared" si="43"/>
        <v>3.3426950725745641E-4</v>
      </c>
    </row>
    <row r="1392" spans="7:15" x14ac:dyDescent="0.25">
      <c r="G1392" s="23">
        <v>42902</v>
      </c>
      <c r="H1392" s="22">
        <v>366.22980000000001</v>
      </c>
      <c r="I1392">
        <f t="shared" si="42"/>
        <v>-1.5206717164617523E-4</v>
      </c>
      <c r="J1392" s="23">
        <v>42902</v>
      </c>
      <c r="K1392" s="22">
        <v>585.59540000000004</v>
      </c>
      <c r="L1392">
        <f t="shared" si="42"/>
        <v>-6.4422774500316748E-4</v>
      </c>
      <c r="M1392" s="23">
        <v>42871</v>
      </c>
      <c r="N1392" s="22">
        <v>790.68380000000002</v>
      </c>
      <c r="O1392">
        <f t="shared" si="43"/>
        <v>4.9832769320801162E-5</v>
      </c>
    </row>
    <row r="1393" spans="7:15" x14ac:dyDescent="0.25">
      <c r="G1393" s="23">
        <v>42905</v>
      </c>
      <c r="H1393" s="22">
        <v>366.13499999999999</v>
      </c>
      <c r="I1393">
        <f t="shared" si="42"/>
        <v>-2.5885386716217873E-4</v>
      </c>
      <c r="J1393" s="23">
        <v>42905</v>
      </c>
      <c r="K1393" s="22">
        <v>585.48900000000003</v>
      </c>
      <c r="L1393">
        <f t="shared" si="42"/>
        <v>-1.8169541632329089E-4</v>
      </c>
      <c r="M1393" s="23">
        <v>42872</v>
      </c>
      <c r="N1393" s="22">
        <v>790.71460000000002</v>
      </c>
      <c r="O1393">
        <f t="shared" si="43"/>
        <v>3.8953624698079281E-5</v>
      </c>
    </row>
    <row r="1394" spans="7:15" x14ac:dyDescent="0.25">
      <c r="G1394" s="23">
        <v>42906</v>
      </c>
      <c r="H1394" s="22">
        <v>366.15530000000001</v>
      </c>
      <c r="I1394">
        <f t="shared" si="42"/>
        <v>5.5444030207407735E-5</v>
      </c>
      <c r="J1394" s="23">
        <v>42906</v>
      </c>
      <c r="K1394" s="22">
        <v>585.35299999999995</v>
      </c>
      <c r="L1394">
        <f t="shared" si="42"/>
        <v>-2.3228446648881906E-4</v>
      </c>
      <c r="M1394" s="23">
        <v>42873</v>
      </c>
      <c r="N1394" s="22">
        <v>790.72490000000005</v>
      </c>
      <c r="O1394">
        <f t="shared" si="43"/>
        <v>1.302619175125308E-5</v>
      </c>
    </row>
    <row r="1395" spans="7:15" x14ac:dyDescent="0.25">
      <c r="G1395" s="23">
        <v>42907</v>
      </c>
      <c r="H1395" s="22">
        <v>366.45179999999999</v>
      </c>
      <c r="I1395">
        <f t="shared" si="42"/>
        <v>8.0976569231694384E-4</v>
      </c>
      <c r="J1395" s="23">
        <v>42907</v>
      </c>
      <c r="K1395" s="22">
        <v>585.31650000000002</v>
      </c>
      <c r="L1395">
        <f t="shared" si="42"/>
        <v>-6.2355535890179503E-5</v>
      </c>
      <c r="M1395" s="23">
        <v>42874</v>
      </c>
      <c r="N1395" s="22">
        <v>790.23149999999998</v>
      </c>
      <c r="O1395">
        <f t="shared" si="43"/>
        <v>-6.2398439710198428E-4</v>
      </c>
    </row>
    <row r="1396" spans="7:15" x14ac:dyDescent="0.25">
      <c r="G1396" s="23">
        <v>42908</v>
      </c>
      <c r="H1396" s="22">
        <v>366.4744</v>
      </c>
      <c r="I1396">
        <f t="shared" si="42"/>
        <v>6.1672503723686489E-5</v>
      </c>
      <c r="J1396" s="23">
        <v>42908</v>
      </c>
      <c r="K1396" s="22">
        <v>585.25750000000005</v>
      </c>
      <c r="L1396">
        <f t="shared" si="42"/>
        <v>-1.008001653806101E-4</v>
      </c>
      <c r="M1396" s="23">
        <v>42877</v>
      </c>
      <c r="N1396" s="22">
        <v>790.87760000000003</v>
      </c>
      <c r="O1396">
        <f t="shared" si="43"/>
        <v>8.1760851092371745E-4</v>
      </c>
    </row>
    <row r="1397" spans="7:15" x14ac:dyDescent="0.25">
      <c r="G1397" s="23">
        <v>42909</v>
      </c>
      <c r="H1397" s="22">
        <v>366.5016</v>
      </c>
      <c r="I1397">
        <f t="shared" si="42"/>
        <v>7.4220736837160572E-5</v>
      </c>
      <c r="J1397" s="23">
        <v>42909</v>
      </c>
      <c r="K1397" s="22">
        <v>585.29290000000003</v>
      </c>
      <c r="L1397">
        <f t="shared" si="42"/>
        <v>6.0486196246989365E-5</v>
      </c>
      <c r="M1397" s="23">
        <v>42878</v>
      </c>
      <c r="N1397" s="22">
        <v>786.41139999999996</v>
      </c>
      <c r="O1397">
        <f t="shared" si="43"/>
        <v>-5.6471443874501759E-3</v>
      </c>
    </row>
    <row r="1398" spans="7:15" x14ac:dyDescent="0.25">
      <c r="G1398" s="23">
        <v>42912</v>
      </c>
      <c r="H1398" s="22">
        <v>366.48829999999998</v>
      </c>
      <c r="I1398">
        <f t="shared" si="42"/>
        <v>-3.6289063949590528E-5</v>
      </c>
      <c r="J1398" s="23">
        <v>42912</v>
      </c>
      <c r="K1398" s="22">
        <v>585.13630000000001</v>
      </c>
      <c r="L1398">
        <f t="shared" si="42"/>
        <v>-2.6755834557368186E-4</v>
      </c>
      <c r="M1398" s="23">
        <v>42879</v>
      </c>
      <c r="N1398" s="22">
        <v>785.78</v>
      </c>
      <c r="O1398">
        <f t="shared" si="43"/>
        <v>-8.0288764888203357E-4</v>
      </c>
    </row>
    <row r="1399" spans="7:15" x14ac:dyDescent="0.25">
      <c r="G1399" s="23">
        <v>42913</v>
      </c>
      <c r="H1399" s="22">
        <v>366.40600000000001</v>
      </c>
      <c r="I1399">
        <f t="shared" si="42"/>
        <v>-2.2456378552870859E-4</v>
      </c>
      <c r="J1399" s="23">
        <v>42913</v>
      </c>
      <c r="K1399" s="22">
        <v>584.31200000000001</v>
      </c>
      <c r="L1399">
        <f t="shared" si="42"/>
        <v>-1.4087316066359046E-3</v>
      </c>
      <c r="M1399" s="23">
        <v>42880</v>
      </c>
      <c r="N1399" s="22">
        <v>785.38040000000001</v>
      </c>
      <c r="O1399">
        <f t="shared" si="43"/>
        <v>-5.0853928580518737E-4</v>
      </c>
    </row>
    <row r="1400" spans="7:15" x14ac:dyDescent="0.25">
      <c r="G1400" s="23">
        <v>42914</v>
      </c>
      <c r="H1400" s="22">
        <v>365.47070000000002</v>
      </c>
      <c r="I1400">
        <f t="shared" si="42"/>
        <v>-2.5526328717323521E-3</v>
      </c>
      <c r="J1400" s="23">
        <v>42914</v>
      </c>
      <c r="K1400" s="22">
        <v>584.35950000000003</v>
      </c>
      <c r="L1400">
        <f t="shared" si="42"/>
        <v>8.1292186366210828E-5</v>
      </c>
      <c r="M1400" s="23">
        <v>42881</v>
      </c>
      <c r="N1400" s="22">
        <v>785.40650000000005</v>
      </c>
      <c r="O1400">
        <f t="shared" si="43"/>
        <v>3.3232303734642699E-5</v>
      </c>
    </row>
    <row r="1401" spans="7:15" x14ac:dyDescent="0.25">
      <c r="G1401" s="23">
        <v>42915</v>
      </c>
      <c r="H1401" s="22">
        <v>365.94729999999998</v>
      </c>
      <c r="I1401">
        <f t="shared" si="42"/>
        <v>1.3040717080738951E-3</v>
      </c>
      <c r="J1401" s="23">
        <v>42915</v>
      </c>
      <c r="K1401" s="22">
        <v>584.34799999999996</v>
      </c>
      <c r="L1401">
        <f t="shared" si="42"/>
        <v>-1.9679666369842863E-5</v>
      </c>
      <c r="M1401" s="23">
        <v>42884</v>
      </c>
      <c r="N1401" s="22">
        <v>785.40650000000005</v>
      </c>
      <c r="O1401">
        <f t="shared" si="43"/>
        <v>0</v>
      </c>
    </row>
    <row r="1402" spans="7:15" x14ac:dyDescent="0.25">
      <c r="G1402" s="23">
        <v>42916</v>
      </c>
      <c r="H1402" s="22">
        <v>367.05880000000002</v>
      </c>
      <c r="I1402">
        <f t="shared" si="42"/>
        <v>3.0373225871596077E-3</v>
      </c>
      <c r="J1402" s="23">
        <v>42916</v>
      </c>
      <c r="K1402" s="22">
        <v>589.13260000000002</v>
      </c>
      <c r="L1402">
        <f t="shared" si="42"/>
        <v>8.1879291107354035E-3</v>
      </c>
      <c r="M1402" s="23">
        <v>42885</v>
      </c>
      <c r="N1402" s="22">
        <v>785.10350000000005</v>
      </c>
      <c r="O1402">
        <f t="shared" si="43"/>
        <v>-3.8578748711659561E-4</v>
      </c>
    </row>
    <row r="1403" spans="7:15" x14ac:dyDescent="0.25">
      <c r="G1403" s="23">
        <v>42919</v>
      </c>
      <c r="H1403" s="22">
        <v>366.91989999999998</v>
      </c>
      <c r="I1403">
        <f t="shared" si="42"/>
        <v>-3.7841348579581435E-4</v>
      </c>
      <c r="J1403" s="23">
        <v>42919</v>
      </c>
      <c r="K1403" s="22">
        <v>588.96280000000002</v>
      </c>
      <c r="L1403">
        <f t="shared" si="42"/>
        <v>-2.8822034292452781E-4</v>
      </c>
      <c r="M1403" s="23">
        <v>42886</v>
      </c>
      <c r="N1403" s="22">
        <v>785.63310000000001</v>
      </c>
      <c r="O1403">
        <f t="shared" si="43"/>
        <v>6.7456074262817189E-4</v>
      </c>
    </row>
    <row r="1404" spans="7:15" x14ac:dyDescent="0.25">
      <c r="G1404" s="23">
        <v>42920</v>
      </c>
      <c r="H1404" s="22">
        <v>366.91989999999998</v>
      </c>
      <c r="I1404">
        <f t="shared" si="42"/>
        <v>0</v>
      </c>
      <c r="J1404" s="23">
        <v>42920</v>
      </c>
      <c r="K1404" s="22">
        <v>588.96280000000002</v>
      </c>
      <c r="L1404">
        <f t="shared" si="42"/>
        <v>0</v>
      </c>
      <c r="M1404" s="23">
        <v>42887</v>
      </c>
      <c r="N1404" s="22">
        <v>785.68140000000005</v>
      </c>
      <c r="O1404">
        <f t="shared" si="43"/>
        <v>6.1479079738413489E-5</v>
      </c>
    </row>
    <row r="1405" spans="7:15" x14ac:dyDescent="0.25">
      <c r="G1405" s="23">
        <v>42921</v>
      </c>
      <c r="H1405" s="22">
        <v>367.21339999999998</v>
      </c>
      <c r="I1405">
        <f t="shared" si="42"/>
        <v>7.999021039741816E-4</v>
      </c>
      <c r="J1405" s="23">
        <v>42921</v>
      </c>
      <c r="K1405" s="22">
        <v>588.94470000000001</v>
      </c>
      <c r="L1405">
        <f t="shared" si="42"/>
        <v>-3.073199190173348E-5</v>
      </c>
      <c r="M1405" s="23">
        <v>42888</v>
      </c>
      <c r="N1405" s="22">
        <v>785.10820000000001</v>
      </c>
      <c r="O1405">
        <f t="shared" si="43"/>
        <v>-7.2955780803773962E-4</v>
      </c>
    </row>
    <row r="1406" spans="7:15" x14ac:dyDescent="0.25">
      <c r="G1406" s="23">
        <v>42922</v>
      </c>
      <c r="H1406" s="22">
        <v>367.62569999999999</v>
      </c>
      <c r="I1406">
        <f t="shared" si="42"/>
        <v>1.1227803778401935E-3</v>
      </c>
      <c r="J1406" s="23">
        <v>42922</v>
      </c>
      <c r="K1406" s="22">
        <v>589.27179999999998</v>
      </c>
      <c r="L1406">
        <f t="shared" si="42"/>
        <v>5.5540019292132925E-4</v>
      </c>
      <c r="M1406" s="23">
        <v>42891</v>
      </c>
      <c r="N1406" s="22">
        <v>784.62099999999998</v>
      </c>
      <c r="O1406">
        <f t="shared" si="43"/>
        <v>-6.2055140934713648E-4</v>
      </c>
    </row>
    <row r="1407" spans="7:15" x14ac:dyDescent="0.25">
      <c r="G1407" s="23">
        <v>42923</v>
      </c>
      <c r="H1407" s="22">
        <v>367.57080000000002</v>
      </c>
      <c r="I1407">
        <f t="shared" si="42"/>
        <v>-1.4933667586347621E-4</v>
      </c>
      <c r="J1407" s="23">
        <v>42923</v>
      </c>
      <c r="K1407" s="22">
        <v>589.12149999999997</v>
      </c>
      <c r="L1407">
        <f t="shared" si="42"/>
        <v>-2.5506056797564014E-4</v>
      </c>
      <c r="M1407" s="23">
        <v>42892</v>
      </c>
      <c r="N1407" s="22">
        <v>780.9117</v>
      </c>
      <c r="O1407">
        <f t="shared" si="43"/>
        <v>-4.7275053815790669E-3</v>
      </c>
    </row>
    <row r="1408" spans="7:15" x14ac:dyDescent="0.25">
      <c r="G1408" s="23">
        <v>42926</v>
      </c>
      <c r="H1408" s="22">
        <v>367.60789999999997</v>
      </c>
      <c r="I1408">
        <f t="shared" si="42"/>
        <v>1.0093293591317831E-4</v>
      </c>
      <c r="J1408" s="23">
        <v>42926</v>
      </c>
      <c r="K1408" s="22">
        <v>589.14189999999996</v>
      </c>
      <c r="L1408">
        <f t="shared" si="42"/>
        <v>3.4627831440481316E-5</v>
      </c>
      <c r="M1408" s="23">
        <v>42893</v>
      </c>
      <c r="N1408" s="22">
        <v>780.97450000000003</v>
      </c>
      <c r="O1408">
        <f t="shared" si="43"/>
        <v>8.0418823280581364E-5</v>
      </c>
    </row>
    <row r="1409" spans="7:15" x14ac:dyDescent="0.25">
      <c r="G1409" s="23">
        <v>42927</v>
      </c>
      <c r="H1409" s="22">
        <v>367.44290000000001</v>
      </c>
      <c r="I1409">
        <f t="shared" si="42"/>
        <v>-4.4884780767762145E-4</v>
      </c>
      <c r="J1409" s="23">
        <v>42927</v>
      </c>
      <c r="K1409" s="22">
        <v>589.47239999999999</v>
      </c>
      <c r="L1409">
        <f t="shared" si="42"/>
        <v>5.6098539248350399E-4</v>
      </c>
      <c r="M1409" s="23">
        <v>42894</v>
      </c>
      <c r="N1409" s="22">
        <v>770.4597</v>
      </c>
      <c r="O1409">
        <f t="shared" si="43"/>
        <v>-1.3463691836289149E-2</v>
      </c>
    </row>
    <row r="1410" spans="7:15" x14ac:dyDescent="0.25">
      <c r="G1410" s="23">
        <v>42928</v>
      </c>
      <c r="H1410" s="22">
        <v>367.09800000000001</v>
      </c>
      <c r="I1410">
        <f t="shared" si="42"/>
        <v>-9.3864924318853848E-4</v>
      </c>
      <c r="J1410" s="23">
        <v>42928</v>
      </c>
      <c r="K1410" s="22">
        <v>589.24770000000001</v>
      </c>
      <c r="L1410">
        <f t="shared" si="42"/>
        <v>-3.8118833044598066E-4</v>
      </c>
      <c r="M1410" s="23">
        <v>42895</v>
      </c>
      <c r="N1410" s="22">
        <v>754.74440000000004</v>
      </c>
      <c r="O1410">
        <f t="shared" si="43"/>
        <v>-2.0397303064650818E-2</v>
      </c>
    </row>
    <row r="1411" spans="7:15" x14ac:dyDescent="0.25">
      <c r="G1411" s="23">
        <v>42929</v>
      </c>
      <c r="H1411" s="22">
        <v>367.0222</v>
      </c>
      <c r="I1411">
        <f t="shared" si="42"/>
        <v>-2.0648437202064329E-4</v>
      </c>
      <c r="J1411" s="23">
        <v>42929</v>
      </c>
      <c r="K1411" s="22">
        <v>589.07590000000005</v>
      </c>
      <c r="L1411">
        <f t="shared" si="42"/>
        <v>-2.9155820209392225E-4</v>
      </c>
      <c r="M1411" s="23">
        <v>42898</v>
      </c>
      <c r="N1411" s="22">
        <v>754.56259999999997</v>
      </c>
      <c r="O1411">
        <f t="shared" si="43"/>
        <v>-2.4087624896595994E-4</v>
      </c>
    </row>
    <row r="1412" spans="7:15" x14ac:dyDescent="0.25">
      <c r="G1412" s="23">
        <v>42930</v>
      </c>
      <c r="H1412" s="22">
        <v>367.0308</v>
      </c>
      <c r="I1412">
        <f t="shared" ref="I1412:L1475" si="44">H1412/H1411-1</f>
        <v>2.3431825104891502E-5</v>
      </c>
      <c r="J1412" s="23">
        <v>42930</v>
      </c>
      <c r="K1412" s="22">
        <v>589.28899999999999</v>
      </c>
      <c r="L1412">
        <f t="shared" si="44"/>
        <v>3.6175304404739705E-4</v>
      </c>
      <c r="M1412" s="23">
        <v>42899</v>
      </c>
      <c r="N1412" s="22">
        <v>754.10799999999995</v>
      </c>
      <c r="O1412">
        <f t="shared" ref="O1412:O1475" si="45">N1412/N1411-1</f>
        <v>-6.0246823789045223E-4</v>
      </c>
    </row>
    <row r="1413" spans="7:15" x14ac:dyDescent="0.25">
      <c r="G1413" s="23">
        <v>42933</v>
      </c>
      <c r="H1413" s="22">
        <v>367.0324</v>
      </c>
      <c r="I1413">
        <f t="shared" si="44"/>
        <v>4.3593071752390244E-6</v>
      </c>
      <c r="J1413" s="23">
        <v>42933</v>
      </c>
      <c r="K1413" s="22">
        <v>589.3066</v>
      </c>
      <c r="L1413">
        <f t="shared" si="44"/>
        <v>2.9866500138364671E-5</v>
      </c>
      <c r="M1413" s="23">
        <v>42900</v>
      </c>
      <c r="N1413" s="22">
        <v>749.44709999999998</v>
      </c>
      <c r="O1413">
        <f t="shared" si="45"/>
        <v>-6.1806796904422256E-3</v>
      </c>
    </row>
    <row r="1414" spans="7:15" x14ac:dyDescent="0.25">
      <c r="G1414" s="23">
        <v>42934</v>
      </c>
      <c r="H1414" s="22">
        <v>367.00940000000003</v>
      </c>
      <c r="I1414">
        <f t="shared" si="44"/>
        <v>-6.2664767470077543E-5</v>
      </c>
      <c r="J1414" s="23">
        <v>42934</v>
      </c>
      <c r="K1414" s="22">
        <v>589.90139999999997</v>
      </c>
      <c r="L1414">
        <f t="shared" si="44"/>
        <v>1.0093218029458839E-3</v>
      </c>
      <c r="M1414" s="23">
        <v>42901</v>
      </c>
      <c r="N1414" s="22">
        <v>749.41539999999998</v>
      </c>
      <c r="O1414">
        <f t="shared" si="45"/>
        <v>-4.2297848640737712E-5</v>
      </c>
    </row>
    <row r="1415" spans="7:15" x14ac:dyDescent="0.25">
      <c r="G1415" s="23">
        <v>42935</v>
      </c>
      <c r="H1415" s="22">
        <v>366.93439999999998</v>
      </c>
      <c r="I1415">
        <f t="shared" si="44"/>
        <v>-2.0435443887822924E-4</v>
      </c>
      <c r="J1415" s="23">
        <v>42935</v>
      </c>
      <c r="K1415" s="22">
        <v>589.69619999999998</v>
      </c>
      <c r="L1415">
        <f t="shared" si="44"/>
        <v>-3.4785474318244081E-4</v>
      </c>
      <c r="M1415" s="23">
        <v>42902</v>
      </c>
      <c r="N1415" s="22">
        <v>749.30859999999996</v>
      </c>
      <c r="O1415">
        <f t="shared" si="45"/>
        <v>-1.4251108263862999E-4</v>
      </c>
    </row>
    <row r="1416" spans="7:15" x14ac:dyDescent="0.25">
      <c r="G1416" s="23">
        <v>42936</v>
      </c>
      <c r="H1416" s="22">
        <v>366.82479999999998</v>
      </c>
      <c r="I1416">
        <f t="shared" si="44"/>
        <v>-2.9869099217738615E-4</v>
      </c>
      <c r="J1416" s="23">
        <v>42936</v>
      </c>
      <c r="K1416" s="22">
        <v>589.72760000000005</v>
      </c>
      <c r="L1416">
        <f t="shared" si="44"/>
        <v>5.3247757065610912E-5</v>
      </c>
      <c r="M1416" s="23">
        <v>42905</v>
      </c>
      <c r="N1416" s="22">
        <v>749.31200000000001</v>
      </c>
      <c r="O1416">
        <f t="shared" si="45"/>
        <v>4.5375163184591116E-6</v>
      </c>
    </row>
    <row r="1417" spans="7:15" x14ac:dyDescent="0.25">
      <c r="G1417" s="23">
        <v>42937</v>
      </c>
      <c r="H1417" s="22">
        <v>366.97820000000002</v>
      </c>
      <c r="I1417">
        <f t="shared" si="44"/>
        <v>4.1818328531784132E-4</v>
      </c>
      <c r="J1417" s="23">
        <v>42937</v>
      </c>
      <c r="K1417" s="22">
        <v>589.8546</v>
      </c>
      <c r="L1417">
        <f t="shared" si="44"/>
        <v>2.1535366498026676E-4</v>
      </c>
      <c r="M1417" s="23">
        <v>42906</v>
      </c>
      <c r="N1417" s="22">
        <v>747.10839999999996</v>
      </c>
      <c r="O1417">
        <f t="shared" si="45"/>
        <v>-2.940831055688542E-3</v>
      </c>
    </row>
    <row r="1418" spans="7:15" x14ac:dyDescent="0.25">
      <c r="G1418" s="23">
        <v>42940</v>
      </c>
      <c r="H1418" s="22">
        <v>367.0437</v>
      </c>
      <c r="I1418">
        <f t="shared" si="44"/>
        <v>1.7848471653070241E-4</v>
      </c>
      <c r="J1418" s="23">
        <v>42940</v>
      </c>
      <c r="K1418" s="22">
        <v>589.90989999999999</v>
      </c>
      <c r="L1418">
        <f t="shared" si="44"/>
        <v>9.3751917845441568E-5</v>
      </c>
      <c r="M1418" s="23">
        <v>42907</v>
      </c>
      <c r="N1418" s="22">
        <v>746.75869999999998</v>
      </c>
      <c r="O1418">
        <f t="shared" si="45"/>
        <v>-4.6807129996129238E-4</v>
      </c>
    </row>
    <row r="1419" spans="7:15" x14ac:dyDescent="0.25">
      <c r="G1419" s="23">
        <v>42941</v>
      </c>
      <c r="H1419" s="22">
        <v>366.81549999999999</v>
      </c>
      <c r="I1419">
        <f t="shared" si="44"/>
        <v>-6.2172433418694606E-4</v>
      </c>
      <c r="J1419" s="23">
        <v>42941</v>
      </c>
      <c r="K1419" s="22">
        <v>589.91480000000001</v>
      </c>
      <c r="L1419">
        <f t="shared" si="44"/>
        <v>8.3063532245741811E-6</v>
      </c>
      <c r="M1419" s="23">
        <v>42908</v>
      </c>
      <c r="N1419" s="22">
        <v>746.98140000000001</v>
      </c>
      <c r="O1419">
        <f t="shared" si="45"/>
        <v>2.9822217002628548E-4</v>
      </c>
    </row>
    <row r="1420" spans="7:15" x14ac:dyDescent="0.25">
      <c r="G1420" s="23">
        <v>42942</v>
      </c>
      <c r="H1420" s="22">
        <v>366.80450000000002</v>
      </c>
      <c r="I1420">
        <f t="shared" si="44"/>
        <v>-2.9987827668054301E-5</v>
      </c>
      <c r="J1420" s="23">
        <v>42942</v>
      </c>
      <c r="K1420" s="22">
        <v>589.9538</v>
      </c>
      <c r="L1420">
        <f t="shared" si="44"/>
        <v>6.6111241826760647E-5</v>
      </c>
      <c r="M1420" s="23">
        <v>42909</v>
      </c>
      <c r="N1420" s="22">
        <v>746.87540000000001</v>
      </c>
      <c r="O1420">
        <f t="shared" si="45"/>
        <v>-1.4190447044593046E-4</v>
      </c>
    </row>
    <row r="1421" spans="7:15" x14ac:dyDescent="0.25">
      <c r="G1421" s="23">
        <v>42943</v>
      </c>
      <c r="H1421" s="22">
        <v>366.85039999999998</v>
      </c>
      <c r="I1421">
        <f t="shared" si="44"/>
        <v>1.2513477888065339E-4</v>
      </c>
      <c r="J1421" s="23">
        <v>42943</v>
      </c>
      <c r="K1421" s="22">
        <v>590.30089999999996</v>
      </c>
      <c r="L1421">
        <f t="shared" si="44"/>
        <v>5.8835115563282692E-4</v>
      </c>
      <c r="M1421" s="23">
        <v>42912</v>
      </c>
      <c r="N1421" s="22">
        <v>747.548</v>
      </c>
      <c r="O1421">
        <f t="shared" si="45"/>
        <v>9.0055181895132286E-4</v>
      </c>
    </row>
    <row r="1422" spans="7:15" x14ac:dyDescent="0.25">
      <c r="G1422" s="23">
        <v>42944</v>
      </c>
      <c r="H1422" s="22">
        <v>366.84710000000001</v>
      </c>
      <c r="I1422">
        <f t="shared" si="44"/>
        <v>-8.9954924403778946E-6</v>
      </c>
      <c r="J1422" s="23">
        <v>42944</v>
      </c>
      <c r="K1422" s="22">
        <v>590.28210000000001</v>
      </c>
      <c r="L1422">
        <f t="shared" si="44"/>
        <v>-3.1848164215864116E-5</v>
      </c>
      <c r="M1422" s="23">
        <v>42913</v>
      </c>
      <c r="N1422" s="22">
        <v>747.66319999999996</v>
      </c>
      <c r="O1422">
        <f t="shared" si="45"/>
        <v>1.5410381674474394E-4</v>
      </c>
    </row>
    <row r="1423" spans="7:15" x14ac:dyDescent="0.25">
      <c r="G1423" s="23">
        <v>42947</v>
      </c>
      <c r="H1423" s="22">
        <v>367.98500000000001</v>
      </c>
      <c r="I1423">
        <f t="shared" si="44"/>
        <v>3.1018372504512115E-3</v>
      </c>
      <c r="J1423" s="23">
        <v>42947</v>
      </c>
      <c r="K1423" s="22">
        <v>594.87800000000004</v>
      </c>
      <c r="L1423">
        <f t="shared" si="44"/>
        <v>7.7859382827296653E-3</v>
      </c>
      <c r="M1423" s="23">
        <v>42914</v>
      </c>
      <c r="N1423" s="22">
        <v>748.4271</v>
      </c>
      <c r="O1423">
        <f t="shared" si="45"/>
        <v>1.0217167302069008E-3</v>
      </c>
    </row>
    <row r="1424" spans="7:15" x14ac:dyDescent="0.25">
      <c r="G1424" s="23">
        <v>42948</v>
      </c>
      <c r="H1424" s="22">
        <v>368.00209999999998</v>
      </c>
      <c r="I1424">
        <f t="shared" si="44"/>
        <v>4.6469285432726437E-5</v>
      </c>
      <c r="J1424" s="23">
        <v>42948</v>
      </c>
      <c r="K1424" s="22">
        <v>594.77160000000003</v>
      </c>
      <c r="L1424">
        <f t="shared" si="44"/>
        <v>-1.7886020326862706E-4</v>
      </c>
      <c r="M1424" s="23">
        <v>42915</v>
      </c>
      <c r="N1424" s="22">
        <v>748.38800000000003</v>
      </c>
      <c r="O1424">
        <f t="shared" si="45"/>
        <v>-5.224289713712249E-5</v>
      </c>
    </row>
    <row r="1425" spans="7:15" x14ac:dyDescent="0.25">
      <c r="G1425" s="23">
        <v>42949</v>
      </c>
      <c r="H1425" s="22">
        <v>367.95940000000002</v>
      </c>
      <c r="I1425">
        <f t="shared" si="44"/>
        <v>-1.1603194655673832E-4</v>
      </c>
      <c r="J1425" s="23">
        <v>42949</v>
      </c>
      <c r="K1425" s="22">
        <v>594.56100000000004</v>
      </c>
      <c r="L1425">
        <f t="shared" si="44"/>
        <v>-3.5408550105620051E-4</v>
      </c>
      <c r="M1425" s="23">
        <v>42916</v>
      </c>
      <c r="N1425" s="22">
        <v>751.15409999999997</v>
      </c>
      <c r="O1425">
        <f t="shared" si="45"/>
        <v>3.6960774357686077E-3</v>
      </c>
    </row>
    <row r="1426" spans="7:15" x14ac:dyDescent="0.25">
      <c r="G1426" s="23">
        <v>42950</v>
      </c>
      <c r="H1426" s="22">
        <v>367.82249999999999</v>
      </c>
      <c r="I1426">
        <f t="shared" si="44"/>
        <v>-3.7205191659739345E-4</v>
      </c>
      <c r="J1426" s="23">
        <v>42950</v>
      </c>
      <c r="K1426" s="22">
        <v>593.53909999999996</v>
      </c>
      <c r="L1426">
        <f t="shared" si="44"/>
        <v>-1.7187471092118267E-3</v>
      </c>
      <c r="M1426" s="23">
        <v>42919</v>
      </c>
      <c r="N1426" s="22">
        <v>753.17449999999997</v>
      </c>
      <c r="O1426">
        <f t="shared" si="45"/>
        <v>2.6897277136608277E-3</v>
      </c>
    </row>
    <row r="1427" spans="7:15" x14ac:dyDescent="0.25">
      <c r="G1427" s="23">
        <v>42951</v>
      </c>
      <c r="H1427" s="22">
        <v>367.8349</v>
      </c>
      <c r="I1427">
        <f t="shared" si="44"/>
        <v>3.3711912675205014E-5</v>
      </c>
      <c r="J1427" s="23">
        <v>42951</v>
      </c>
      <c r="K1427" s="22">
        <v>593.63210000000004</v>
      </c>
      <c r="L1427">
        <f t="shared" si="44"/>
        <v>1.566872342531056E-4</v>
      </c>
      <c r="M1427" s="23">
        <v>42920</v>
      </c>
      <c r="N1427" s="22">
        <v>753.17449999999997</v>
      </c>
      <c r="O1427">
        <f t="shared" si="45"/>
        <v>0</v>
      </c>
    </row>
    <row r="1428" spans="7:15" x14ac:dyDescent="0.25">
      <c r="G1428" s="23">
        <v>42954</v>
      </c>
      <c r="H1428" s="22">
        <v>367.87040000000002</v>
      </c>
      <c r="I1428">
        <f t="shared" si="44"/>
        <v>9.6510689986173404E-5</v>
      </c>
      <c r="J1428" s="23">
        <v>42954</v>
      </c>
      <c r="K1428" s="22">
        <v>593.49770000000001</v>
      </c>
      <c r="L1428">
        <f t="shared" si="44"/>
        <v>-2.2640285119357451E-4</v>
      </c>
      <c r="M1428" s="23">
        <v>42921</v>
      </c>
      <c r="N1428" s="22">
        <v>752.73220000000003</v>
      </c>
      <c r="O1428">
        <f t="shared" si="45"/>
        <v>-5.8724770952800487E-4</v>
      </c>
    </row>
    <row r="1429" spans="7:15" x14ac:dyDescent="0.25">
      <c r="G1429" s="23">
        <v>42955</v>
      </c>
      <c r="H1429" s="22">
        <v>367.82929999999999</v>
      </c>
      <c r="I1429">
        <f t="shared" si="44"/>
        <v>-1.1172412893245554E-4</v>
      </c>
      <c r="J1429" s="23">
        <v>42955</v>
      </c>
      <c r="K1429" s="22">
        <v>593.10919999999999</v>
      </c>
      <c r="L1429">
        <f t="shared" si="44"/>
        <v>-6.5459394366651491E-4</v>
      </c>
      <c r="M1429" s="23">
        <v>42922</v>
      </c>
      <c r="N1429" s="22">
        <v>752.7337</v>
      </c>
      <c r="O1429">
        <f t="shared" si="45"/>
        <v>1.9927405787711905E-6</v>
      </c>
    </row>
    <row r="1430" spans="7:15" x14ac:dyDescent="0.25">
      <c r="G1430" s="23">
        <v>42956</v>
      </c>
      <c r="H1430" s="22">
        <v>367.82810000000001</v>
      </c>
      <c r="I1430">
        <f t="shared" si="44"/>
        <v>-3.2623828498667962E-6</v>
      </c>
      <c r="J1430" s="23">
        <v>42956</v>
      </c>
      <c r="K1430" s="22">
        <v>593.02539999999999</v>
      </c>
      <c r="L1430">
        <f t="shared" si="44"/>
        <v>-1.4128932749646328E-4</v>
      </c>
      <c r="M1430" s="23">
        <v>42923</v>
      </c>
      <c r="N1430" s="22">
        <v>753.23569999999995</v>
      </c>
      <c r="O1430">
        <f t="shared" si="45"/>
        <v>6.6690251811496459E-4</v>
      </c>
    </row>
    <row r="1431" spans="7:15" x14ac:dyDescent="0.25">
      <c r="G1431" s="23">
        <v>42957</v>
      </c>
      <c r="H1431" s="22">
        <v>367.84890000000001</v>
      </c>
      <c r="I1431">
        <f t="shared" si="44"/>
        <v>5.6548153879454333E-5</v>
      </c>
      <c r="J1431" s="23">
        <v>42957</v>
      </c>
      <c r="K1431" s="22">
        <v>592.85559999999998</v>
      </c>
      <c r="L1431">
        <f t="shared" si="44"/>
        <v>-2.8632837649111842E-4</v>
      </c>
      <c r="M1431" s="23">
        <v>42926</v>
      </c>
      <c r="N1431" s="22">
        <v>753.23990000000003</v>
      </c>
      <c r="O1431">
        <f t="shared" si="45"/>
        <v>5.5759438912783565E-6</v>
      </c>
    </row>
    <row r="1432" spans="7:15" x14ac:dyDescent="0.25">
      <c r="G1432" s="23">
        <v>42958</v>
      </c>
      <c r="H1432" s="22">
        <v>367.85599999999999</v>
      </c>
      <c r="I1432">
        <f t="shared" si="44"/>
        <v>1.9301403375138193E-5</v>
      </c>
      <c r="J1432" s="23">
        <v>42958</v>
      </c>
      <c r="K1432" s="22">
        <v>592.78520000000003</v>
      </c>
      <c r="L1432">
        <f t="shared" si="44"/>
        <v>-1.1874729698080344E-4</v>
      </c>
      <c r="M1432" s="23">
        <v>42927</v>
      </c>
      <c r="N1432" s="22">
        <v>754.35239999999999</v>
      </c>
      <c r="O1432">
        <f t="shared" si="45"/>
        <v>1.4769530928990804E-3</v>
      </c>
    </row>
    <row r="1433" spans="7:15" x14ac:dyDescent="0.25">
      <c r="G1433" s="23">
        <v>42961</v>
      </c>
      <c r="H1433" s="22">
        <v>367.9162</v>
      </c>
      <c r="I1433">
        <f t="shared" si="44"/>
        <v>1.6365099386717041E-4</v>
      </c>
      <c r="J1433" s="23">
        <v>42961</v>
      </c>
      <c r="K1433" s="22">
        <v>592.83720000000005</v>
      </c>
      <c r="L1433">
        <f t="shared" si="44"/>
        <v>8.772148832325577E-5</v>
      </c>
      <c r="M1433" s="23">
        <v>42928</v>
      </c>
      <c r="N1433" s="22">
        <v>754.96600000000001</v>
      </c>
      <c r="O1433">
        <f t="shared" si="45"/>
        <v>8.1341293538672588E-4</v>
      </c>
    </row>
    <row r="1434" spans="7:15" x14ac:dyDescent="0.25">
      <c r="G1434" s="23">
        <v>42962</v>
      </c>
      <c r="H1434" s="22">
        <v>367.93099999999998</v>
      </c>
      <c r="I1434">
        <f t="shared" si="44"/>
        <v>4.0226551589750414E-5</v>
      </c>
      <c r="J1434" s="23">
        <v>42962</v>
      </c>
      <c r="K1434" s="22">
        <v>592.84</v>
      </c>
      <c r="L1434">
        <f t="shared" si="44"/>
        <v>4.7230504427453468E-6</v>
      </c>
      <c r="M1434" s="23">
        <v>42929</v>
      </c>
      <c r="N1434" s="22">
        <v>755.46469999999999</v>
      </c>
      <c r="O1434">
        <f t="shared" si="45"/>
        <v>6.6055954837707098E-4</v>
      </c>
    </row>
    <row r="1435" spans="7:15" x14ac:dyDescent="0.25">
      <c r="G1435" s="23">
        <v>42963</v>
      </c>
      <c r="H1435" s="22">
        <v>367.63</v>
      </c>
      <c r="I1435">
        <f t="shared" si="44"/>
        <v>-8.1808817414130708E-4</v>
      </c>
      <c r="J1435" s="23">
        <v>42963</v>
      </c>
      <c r="K1435" s="22">
        <v>592.95849999999996</v>
      </c>
      <c r="L1435">
        <f t="shared" si="44"/>
        <v>1.9988529788794729E-4</v>
      </c>
      <c r="M1435" s="23">
        <v>42930</v>
      </c>
      <c r="N1435" s="22">
        <v>755.46320000000003</v>
      </c>
      <c r="O1435">
        <f t="shared" si="45"/>
        <v>-1.9855328778906056E-6</v>
      </c>
    </row>
    <row r="1436" spans="7:15" x14ac:dyDescent="0.25">
      <c r="G1436" s="23">
        <v>42964</v>
      </c>
      <c r="H1436" s="22">
        <v>367.68029999999999</v>
      </c>
      <c r="I1436">
        <f t="shared" si="44"/>
        <v>1.3682234855694198E-4</v>
      </c>
      <c r="J1436" s="23">
        <v>42964</v>
      </c>
      <c r="K1436" s="22">
        <v>592.97410000000002</v>
      </c>
      <c r="L1436">
        <f t="shared" si="44"/>
        <v>2.6308755165960207E-5</v>
      </c>
      <c r="M1436" s="23">
        <v>42933</v>
      </c>
      <c r="N1436" s="22">
        <v>755.41309999999999</v>
      </c>
      <c r="O1436">
        <f t="shared" si="45"/>
        <v>-6.6316929798859725E-5</v>
      </c>
    </row>
    <row r="1437" spans="7:15" x14ac:dyDescent="0.25">
      <c r="G1437" s="23">
        <v>42965</v>
      </c>
      <c r="H1437" s="22">
        <v>367.7079</v>
      </c>
      <c r="I1437">
        <f t="shared" si="44"/>
        <v>7.5065212903790979E-5</v>
      </c>
      <c r="J1437" s="23">
        <v>42965</v>
      </c>
      <c r="K1437" s="22">
        <v>593.30430000000001</v>
      </c>
      <c r="L1437">
        <f t="shared" si="44"/>
        <v>5.5685400087446268E-4</v>
      </c>
      <c r="M1437" s="23">
        <v>42934</v>
      </c>
      <c r="N1437" s="22">
        <v>755.51149999999996</v>
      </c>
      <c r="O1437">
        <f t="shared" si="45"/>
        <v>1.3025985384684802E-4</v>
      </c>
    </row>
    <row r="1438" spans="7:15" x14ac:dyDescent="0.25">
      <c r="G1438" s="23">
        <v>42968</v>
      </c>
      <c r="H1438" s="22">
        <v>367.86509999999998</v>
      </c>
      <c r="I1438">
        <f t="shared" si="44"/>
        <v>4.2751325168688403E-4</v>
      </c>
      <c r="J1438" s="23">
        <v>42968</v>
      </c>
      <c r="K1438" s="22">
        <v>593.48839999999996</v>
      </c>
      <c r="L1438">
        <f t="shared" si="44"/>
        <v>3.1029608246546658E-4</v>
      </c>
      <c r="M1438" s="23">
        <v>42935</v>
      </c>
      <c r="N1438" s="22">
        <v>755.45519999999999</v>
      </c>
      <c r="O1438">
        <f t="shared" si="45"/>
        <v>-7.4519051000532244E-5</v>
      </c>
    </row>
    <row r="1439" spans="7:15" x14ac:dyDescent="0.25">
      <c r="G1439" s="23">
        <v>42969</v>
      </c>
      <c r="H1439" s="22">
        <v>367.88119999999998</v>
      </c>
      <c r="I1439">
        <f t="shared" si="44"/>
        <v>4.3766043585025116E-5</v>
      </c>
      <c r="J1439" s="23">
        <v>42969</v>
      </c>
      <c r="K1439" s="22">
        <v>593.49360000000001</v>
      </c>
      <c r="L1439">
        <f t="shared" si="44"/>
        <v>8.7617550739160777E-6</v>
      </c>
      <c r="M1439" s="23">
        <v>42936</v>
      </c>
      <c r="N1439" s="22">
        <v>755.34699999999998</v>
      </c>
      <c r="O1439">
        <f t="shared" si="45"/>
        <v>-1.4322490599050219E-4</v>
      </c>
    </row>
    <row r="1440" spans="7:15" x14ac:dyDescent="0.25">
      <c r="G1440" s="23">
        <v>42970</v>
      </c>
      <c r="H1440" s="22">
        <v>367.88319999999999</v>
      </c>
      <c r="I1440">
        <f t="shared" si="44"/>
        <v>5.4365376649379016E-6</v>
      </c>
      <c r="J1440" s="23">
        <v>42970</v>
      </c>
      <c r="K1440" s="22">
        <v>593.46849999999995</v>
      </c>
      <c r="L1440">
        <f t="shared" si="44"/>
        <v>-4.229194720895002E-5</v>
      </c>
      <c r="M1440" s="23">
        <v>42937</v>
      </c>
      <c r="N1440" s="22">
        <v>755.31560000000002</v>
      </c>
      <c r="O1440">
        <f t="shared" si="45"/>
        <v>-4.1570298154325336E-5</v>
      </c>
    </row>
    <row r="1441" spans="7:15" x14ac:dyDescent="0.25">
      <c r="G1441" s="23">
        <v>42971</v>
      </c>
      <c r="H1441" s="22">
        <v>367.84210000000002</v>
      </c>
      <c r="I1441">
        <f t="shared" si="44"/>
        <v>-1.1172024164185501E-4</v>
      </c>
      <c r="J1441" s="23">
        <v>42971</v>
      </c>
      <c r="K1441" s="22">
        <v>593.44640000000004</v>
      </c>
      <c r="L1441">
        <f t="shared" si="44"/>
        <v>-3.7238707698783458E-5</v>
      </c>
      <c r="M1441" s="23">
        <v>42940</v>
      </c>
      <c r="N1441" s="22">
        <v>755.30600000000004</v>
      </c>
      <c r="O1441">
        <f t="shared" si="45"/>
        <v>-1.2709918873587966E-5</v>
      </c>
    </row>
    <row r="1442" spans="7:15" x14ac:dyDescent="0.25">
      <c r="G1442" s="23">
        <v>42972</v>
      </c>
      <c r="H1442" s="22">
        <v>367.76670000000001</v>
      </c>
      <c r="I1442">
        <f t="shared" si="44"/>
        <v>-2.0497925604490153E-4</v>
      </c>
      <c r="J1442" s="23">
        <v>42972</v>
      </c>
      <c r="K1442" s="22">
        <v>593.48350000000005</v>
      </c>
      <c r="L1442">
        <f t="shared" si="44"/>
        <v>6.2516176692728465E-5</v>
      </c>
      <c r="M1442" s="23">
        <v>42941</v>
      </c>
      <c r="N1442" s="22">
        <v>755.03740000000005</v>
      </c>
      <c r="O1442">
        <f t="shared" si="45"/>
        <v>-3.556174583546623E-4</v>
      </c>
    </row>
    <row r="1443" spans="7:15" x14ac:dyDescent="0.25">
      <c r="G1443" s="23">
        <v>42975</v>
      </c>
      <c r="H1443" s="22">
        <v>367.30239999999998</v>
      </c>
      <c r="I1443">
        <f t="shared" si="44"/>
        <v>-1.2624851570303131E-3</v>
      </c>
      <c r="J1443" s="23">
        <v>42975</v>
      </c>
      <c r="K1443" s="22">
        <v>593.48440000000005</v>
      </c>
      <c r="L1443">
        <f t="shared" si="44"/>
        <v>1.5164701292480487E-6</v>
      </c>
      <c r="M1443" s="23">
        <v>42942</v>
      </c>
      <c r="N1443" s="22">
        <v>755.02260000000001</v>
      </c>
      <c r="O1443">
        <f t="shared" si="45"/>
        <v>-1.9601678009628642E-5</v>
      </c>
    </row>
    <row r="1444" spans="7:15" x14ac:dyDescent="0.25">
      <c r="G1444" s="23">
        <v>42976</v>
      </c>
      <c r="H1444" s="22">
        <v>368.28379999999999</v>
      </c>
      <c r="I1444">
        <f t="shared" si="44"/>
        <v>2.67191284347712E-3</v>
      </c>
      <c r="J1444" s="23">
        <v>42976</v>
      </c>
      <c r="K1444" s="22">
        <v>590.06190000000004</v>
      </c>
      <c r="L1444">
        <f t="shared" si="44"/>
        <v>-5.7667901633134955E-3</v>
      </c>
      <c r="M1444" s="23">
        <v>42943</v>
      </c>
      <c r="N1444" s="22">
        <v>755.20219999999995</v>
      </c>
      <c r="O1444">
        <f t="shared" si="45"/>
        <v>2.3787367424499273E-4</v>
      </c>
    </row>
    <row r="1445" spans="7:15" x14ac:dyDescent="0.25">
      <c r="G1445" s="23">
        <v>42977</v>
      </c>
      <c r="H1445" s="22">
        <v>367.00529999999998</v>
      </c>
      <c r="I1445">
        <f t="shared" si="44"/>
        <v>-3.4715075710634036E-3</v>
      </c>
      <c r="J1445" s="23">
        <v>42977</v>
      </c>
      <c r="K1445" s="22">
        <v>593.40679999999998</v>
      </c>
      <c r="L1445">
        <f t="shared" si="44"/>
        <v>5.668727297932552E-3</v>
      </c>
      <c r="M1445" s="23">
        <v>42944</v>
      </c>
      <c r="N1445" s="22">
        <v>755.2</v>
      </c>
      <c r="O1445">
        <f t="shared" si="45"/>
        <v>-2.9131271067628361E-6</v>
      </c>
    </row>
    <row r="1446" spans="7:15" x14ac:dyDescent="0.25">
      <c r="G1446" s="23">
        <v>42978</v>
      </c>
      <c r="H1446" s="22">
        <v>367.00700000000001</v>
      </c>
      <c r="I1446">
        <f t="shared" si="44"/>
        <v>4.6320856947890121E-6</v>
      </c>
      <c r="J1446" s="23">
        <v>42978</v>
      </c>
      <c r="K1446" s="22">
        <v>601.5933</v>
      </c>
      <c r="L1446">
        <f t="shared" si="44"/>
        <v>1.3795763715549025E-2</v>
      </c>
      <c r="M1446" s="23">
        <v>42947</v>
      </c>
      <c r="N1446" s="22">
        <v>756.33820000000003</v>
      </c>
      <c r="O1446">
        <f t="shared" si="45"/>
        <v>1.5071504237287314E-3</v>
      </c>
    </row>
    <row r="1447" spans="7:15" x14ac:dyDescent="0.25">
      <c r="G1447" s="23">
        <v>42979</v>
      </c>
      <c r="H1447" s="22">
        <v>367.02749999999997</v>
      </c>
      <c r="I1447">
        <f t="shared" si="44"/>
        <v>5.5857245229606889E-5</v>
      </c>
      <c r="J1447" s="23">
        <v>42979</v>
      </c>
      <c r="K1447" s="22">
        <v>601.60699999999997</v>
      </c>
      <c r="L1447">
        <f t="shared" si="44"/>
        <v>2.2772860003517081E-5</v>
      </c>
      <c r="M1447" s="23">
        <v>42948</v>
      </c>
      <c r="N1447" s="22">
        <v>756.66989999999998</v>
      </c>
      <c r="O1447">
        <f t="shared" si="45"/>
        <v>4.3856042177958798E-4</v>
      </c>
    </row>
    <row r="1448" spans="7:15" x14ac:dyDescent="0.25">
      <c r="G1448" s="23">
        <v>42982</v>
      </c>
      <c r="H1448" s="22">
        <v>367.02749999999997</v>
      </c>
      <c r="I1448">
        <f t="shared" si="44"/>
        <v>0</v>
      </c>
      <c r="J1448" s="23">
        <v>42982</v>
      </c>
      <c r="K1448" s="22">
        <v>601.60699999999997</v>
      </c>
      <c r="L1448">
        <f t="shared" si="44"/>
        <v>0</v>
      </c>
      <c r="M1448" s="23">
        <v>42949</v>
      </c>
      <c r="N1448" s="22">
        <v>756.66849999999999</v>
      </c>
      <c r="O1448">
        <f t="shared" si="45"/>
        <v>-1.850212358101011E-6</v>
      </c>
    </row>
    <row r="1449" spans="7:15" x14ac:dyDescent="0.25">
      <c r="G1449" s="23">
        <v>42983</v>
      </c>
      <c r="H1449" s="22">
        <v>367.09370000000001</v>
      </c>
      <c r="I1449">
        <f t="shared" si="44"/>
        <v>1.8036795607967449E-4</v>
      </c>
      <c r="J1449" s="23">
        <v>42983</v>
      </c>
      <c r="K1449" s="22">
        <v>601.46690000000001</v>
      </c>
      <c r="L1449">
        <f t="shared" si="44"/>
        <v>-2.3287627969748037E-4</v>
      </c>
      <c r="M1449" s="23">
        <v>42950</v>
      </c>
      <c r="N1449" s="22">
        <v>755.31079999999997</v>
      </c>
      <c r="O1449">
        <f t="shared" si="45"/>
        <v>-1.7943128331627811E-3</v>
      </c>
    </row>
    <row r="1450" spans="7:15" x14ac:dyDescent="0.25">
      <c r="G1450" s="23">
        <v>42984</v>
      </c>
      <c r="H1450" s="22">
        <v>366.2679</v>
      </c>
      <c r="I1450">
        <f t="shared" si="44"/>
        <v>-2.2495618965948649E-3</v>
      </c>
      <c r="J1450" s="23">
        <v>42984</v>
      </c>
      <c r="K1450" s="22">
        <v>600.24900000000002</v>
      </c>
      <c r="L1450">
        <f t="shared" si="44"/>
        <v>-2.0248828322888546E-3</v>
      </c>
      <c r="M1450" s="23">
        <v>42951</v>
      </c>
      <c r="N1450" s="22">
        <v>755.32449999999994</v>
      </c>
      <c r="O1450">
        <f t="shared" si="45"/>
        <v>1.8138228660369293E-5</v>
      </c>
    </row>
    <row r="1451" spans="7:15" x14ac:dyDescent="0.25">
      <c r="G1451" s="23">
        <v>42985</v>
      </c>
      <c r="H1451" s="22">
        <v>366.26549999999997</v>
      </c>
      <c r="I1451">
        <f t="shared" si="44"/>
        <v>-6.5525807749766685E-6</v>
      </c>
      <c r="J1451" s="23">
        <v>42985</v>
      </c>
      <c r="K1451" s="22">
        <v>600.30409999999995</v>
      </c>
      <c r="L1451">
        <f t="shared" si="44"/>
        <v>9.1795238309266836E-5</v>
      </c>
      <c r="M1451" s="23">
        <v>42954</v>
      </c>
      <c r="N1451" s="22">
        <v>753.41759999999999</v>
      </c>
      <c r="O1451">
        <f t="shared" si="45"/>
        <v>-2.5246102833946793E-3</v>
      </c>
    </row>
    <row r="1452" spans="7:15" x14ac:dyDescent="0.25">
      <c r="G1452" s="23">
        <v>42986</v>
      </c>
      <c r="H1452" s="22">
        <v>366.29180000000002</v>
      </c>
      <c r="I1452">
        <f t="shared" si="44"/>
        <v>7.1805834838567506E-5</v>
      </c>
      <c r="J1452" s="23">
        <v>42986</v>
      </c>
      <c r="K1452" s="22">
        <v>600.24760000000003</v>
      </c>
      <c r="L1452">
        <f t="shared" si="44"/>
        <v>-9.4118964038214514E-5</v>
      </c>
      <c r="M1452" s="23">
        <v>42955</v>
      </c>
      <c r="N1452" s="22">
        <v>753.41800000000001</v>
      </c>
      <c r="O1452">
        <f t="shared" si="45"/>
        <v>5.3091406404526253E-7</v>
      </c>
    </row>
    <row r="1453" spans="7:15" x14ac:dyDescent="0.25">
      <c r="G1453" s="23">
        <v>42989</v>
      </c>
      <c r="H1453" s="22">
        <v>366.29939999999999</v>
      </c>
      <c r="I1453">
        <f t="shared" si="44"/>
        <v>2.0748485223931468E-5</v>
      </c>
      <c r="J1453" s="23">
        <v>42989</v>
      </c>
      <c r="K1453" s="22">
        <v>600.01319999999998</v>
      </c>
      <c r="L1453">
        <f t="shared" si="44"/>
        <v>-3.9050551805630551E-4</v>
      </c>
      <c r="M1453" s="23">
        <v>42956</v>
      </c>
      <c r="N1453" s="22">
        <v>753.2088</v>
      </c>
      <c r="O1453">
        <f t="shared" si="45"/>
        <v>-2.776679081201161E-4</v>
      </c>
    </row>
    <row r="1454" spans="7:15" x14ac:dyDescent="0.25">
      <c r="G1454" s="23">
        <v>42990</v>
      </c>
      <c r="H1454" s="22">
        <v>366.31619999999998</v>
      </c>
      <c r="I1454">
        <f t="shared" si="44"/>
        <v>4.5864120989502766E-5</v>
      </c>
      <c r="J1454" s="23">
        <v>42990</v>
      </c>
      <c r="K1454" s="22">
        <v>599.79269999999997</v>
      </c>
      <c r="L1454">
        <f t="shared" si="44"/>
        <v>-3.6749191517793101E-4</v>
      </c>
      <c r="M1454" s="23">
        <v>42957</v>
      </c>
      <c r="N1454" s="22">
        <v>753.14850000000001</v>
      </c>
      <c r="O1454">
        <f t="shared" si="45"/>
        <v>-8.0057482068740526E-5</v>
      </c>
    </row>
    <row r="1455" spans="7:15" x14ac:dyDescent="0.25">
      <c r="G1455" s="23">
        <v>42991</v>
      </c>
      <c r="H1455" s="22">
        <v>366.27690000000001</v>
      </c>
      <c r="I1455">
        <f t="shared" si="44"/>
        <v>-1.0728436252605E-4</v>
      </c>
      <c r="J1455" s="23">
        <v>42991</v>
      </c>
      <c r="K1455" s="22">
        <v>599.43020000000001</v>
      </c>
      <c r="L1455">
        <f t="shared" si="44"/>
        <v>-6.0437547839442551E-4</v>
      </c>
      <c r="M1455" s="23">
        <v>42958</v>
      </c>
      <c r="N1455" s="22">
        <v>753.16089999999997</v>
      </c>
      <c r="O1455">
        <f t="shared" si="45"/>
        <v>1.6464216552103395E-5</v>
      </c>
    </row>
    <row r="1456" spans="7:15" x14ac:dyDescent="0.25">
      <c r="G1456" s="23">
        <v>42992</v>
      </c>
      <c r="H1456" s="22">
        <v>366.29610000000002</v>
      </c>
      <c r="I1456">
        <f t="shared" si="44"/>
        <v>5.2419358141264638E-5</v>
      </c>
      <c r="J1456" s="23">
        <v>42992</v>
      </c>
      <c r="K1456" s="22">
        <v>600.23940000000005</v>
      </c>
      <c r="L1456">
        <f t="shared" si="44"/>
        <v>1.349948667918266E-3</v>
      </c>
      <c r="M1456" s="23">
        <v>42961</v>
      </c>
      <c r="N1456" s="22">
        <v>753.17849999999999</v>
      </c>
      <c r="O1456">
        <f t="shared" si="45"/>
        <v>2.336818069026414E-5</v>
      </c>
    </row>
    <row r="1457" spans="7:15" x14ac:dyDescent="0.25">
      <c r="G1457" s="23">
        <v>42993</v>
      </c>
      <c r="H1457" s="22">
        <v>366.30340000000001</v>
      </c>
      <c r="I1457">
        <f t="shared" si="44"/>
        <v>1.9929232115689643E-5</v>
      </c>
      <c r="J1457" s="23">
        <v>42993</v>
      </c>
      <c r="K1457" s="22">
        <v>599.84299999999996</v>
      </c>
      <c r="L1457">
        <f t="shared" si="44"/>
        <v>-6.6040316580362468E-4</v>
      </c>
      <c r="M1457" s="23">
        <v>42962</v>
      </c>
      <c r="N1457" s="22">
        <v>753.16390000000001</v>
      </c>
      <c r="O1457">
        <f t="shared" si="45"/>
        <v>-1.9384515091647181E-5</v>
      </c>
    </row>
    <row r="1458" spans="7:15" x14ac:dyDescent="0.25">
      <c r="G1458" s="23">
        <v>42996</v>
      </c>
      <c r="H1458" s="22">
        <v>365.53890000000001</v>
      </c>
      <c r="I1458">
        <f t="shared" si="44"/>
        <v>-2.0870677149051886E-3</v>
      </c>
      <c r="J1458" s="23">
        <v>42996</v>
      </c>
      <c r="K1458" s="22">
        <v>599.68989999999997</v>
      </c>
      <c r="L1458">
        <f t="shared" si="44"/>
        <v>-2.552334527534672E-4</v>
      </c>
      <c r="M1458" s="23">
        <v>42963</v>
      </c>
      <c r="N1458" s="22">
        <v>753.15800000000002</v>
      </c>
      <c r="O1458">
        <f t="shared" si="45"/>
        <v>-7.8336202784523579E-6</v>
      </c>
    </row>
    <row r="1459" spans="7:15" x14ac:dyDescent="0.25">
      <c r="G1459" s="23">
        <v>42997</v>
      </c>
      <c r="H1459" s="22">
        <v>365.41390000000001</v>
      </c>
      <c r="I1459">
        <f t="shared" si="44"/>
        <v>-3.4196086928095504E-4</v>
      </c>
      <c r="J1459" s="23">
        <v>42997</v>
      </c>
      <c r="K1459" s="22">
        <v>601.56690000000003</v>
      </c>
      <c r="L1459">
        <f t="shared" si="44"/>
        <v>3.1299509963400585E-3</v>
      </c>
      <c r="M1459" s="23">
        <v>42964</v>
      </c>
      <c r="N1459" s="22">
        <v>753.68499999999995</v>
      </c>
      <c r="O1459">
        <f t="shared" si="45"/>
        <v>6.9972037739751691E-4</v>
      </c>
    </row>
    <row r="1460" spans="7:15" x14ac:dyDescent="0.25">
      <c r="G1460" s="23">
        <v>42998</v>
      </c>
      <c r="H1460" s="22">
        <v>361.04680000000002</v>
      </c>
      <c r="I1460">
        <f t="shared" si="44"/>
        <v>-1.1951105308254495E-2</v>
      </c>
      <c r="J1460" s="23">
        <v>42998</v>
      </c>
      <c r="K1460" s="22">
        <v>600.31449999999995</v>
      </c>
      <c r="L1460">
        <f t="shared" si="44"/>
        <v>-2.081896460726318E-3</v>
      </c>
      <c r="M1460" s="23">
        <v>42965</v>
      </c>
      <c r="N1460" s="22">
        <v>753.98299999999995</v>
      </c>
      <c r="O1460">
        <f t="shared" si="45"/>
        <v>3.9539064728644213E-4</v>
      </c>
    </row>
    <row r="1461" spans="7:15" x14ac:dyDescent="0.25">
      <c r="G1461" s="23">
        <v>42999</v>
      </c>
      <c r="H1461" s="22">
        <v>360.9862</v>
      </c>
      <c r="I1461">
        <f t="shared" si="44"/>
        <v>-1.6784527656810155E-4</v>
      </c>
      <c r="J1461" s="23">
        <v>42999</v>
      </c>
      <c r="K1461" s="22">
        <v>600.22040000000004</v>
      </c>
      <c r="L1461">
        <f t="shared" si="44"/>
        <v>-1.5675116959512625E-4</v>
      </c>
      <c r="M1461" s="23">
        <v>42968</v>
      </c>
      <c r="N1461" s="22">
        <v>754.44079999999997</v>
      </c>
      <c r="O1461">
        <f t="shared" si="45"/>
        <v>6.0717549334676768E-4</v>
      </c>
    </row>
    <row r="1462" spans="7:15" x14ac:dyDescent="0.25">
      <c r="G1462" s="23">
        <v>43000</v>
      </c>
      <c r="H1462" s="22">
        <v>360.99270000000001</v>
      </c>
      <c r="I1462">
        <f t="shared" si="44"/>
        <v>1.8006228492906118E-5</v>
      </c>
      <c r="J1462" s="23">
        <v>43000</v>
      </c>
      <c r="K1462" s="22">
        <v>598.7962</v>
      </c>
      <c r="L1462">
        <f t="shared" si="44"/>
        <v>-2.3727950599480296E-3</v>
      </c>
      <c r="M1462" s="23">
        <v>42969</v>
      </c>
      <c r="N1462" s="22">
        <v>754.47310000000004</v>
      </c>
      <c r="O1462">
        <f t="shared" si="45"/>
        <v>4.2813167050459455E-5</v>
      </c>
    </row>
    <row r="1463" spans="7:15" x14ac:dyDescent="0.25">
      <c r="G1463" s="23">
        <v>43003</v>
      </c>
      <c r="H1463" s="22">
        <v>361.03680000000003</v>
      </c>
      <c r="I1463">
        <f t="shared" si="44"/>
        <v>1.2216313515489574E-4</v>
      </c>
      <c r="J1463" s="23">
        <v>43003</v>
      </c>
      <c r="K1463" s="22">
        <v>598.6771</v>
      </c>
      <c r="L1463">
        <f t="shared" si="44"/>
        <v>-1.9889905780967609E-4</v>
      </c>
      <c r="M1463" s="23">
        <v>42970</v>
      </c>
      <c r="N1463" s="22">
        <v>754.471</v>
      </c>
      <c r="O1463">
        <f t="shared" si="45"/>
        <v>-2.7833994347137292E-6</v>
      </c>
    </row>
    <row r="1464" spans="7:15" x14ac:dyDescent="0.25">
      <c r="G1464" s="23">
        <v>43004</v>
      </c>
      <c r="H1464" s="22">
        <v>360.86320000000001</v>
      </c>
      <c r="I1464">
        <f t="shared" si="44"/>
        <v>-4.8083741048010609E-4</v>
      </c>
      <c r="J1464" s="23">
        <v>43004</v>
      </c>
      <c r="K1464" s="22">
        <v>598.83770000000004</v>
      </c>
      <c r="L1464">
        <f t="shared" si="44"/>
        <v>2.6825813113617869E-4</v>
      </c>
      <c r="M1464" s="23">
        <v>42971</v>
      </c>
      <c r="N1464" s="22">
        <v>754.69179999999994</v>
      </c>
      <c r="O1464">
        <f t="shared" si="45"/>
        <v>2.9265538370593092E-4</v>
      </c>
    </row>
    <row r="1465" spans="7:15" x14ac:dyDescent="0.25">
      <c r="G1465" s="23">
        <v>43005</v>
      </c>
      <c r="H1465" s="22">
        <v>320.25670000000002</v>
      </c>
      <c r="I1465">
        <f t="shared" si="44"/>
        <v>-0.11252602094089947</v>
      </c>
      <c r="J1465" s="23">
        <v>43005</v>
      </c>
      <c r="K1465" s="22">
        <v>599.05449999999996</v>
      </c>
      <c r="L1465">
        <f t="shared" si="44"/>
        <v>3.6203465479855979E-4</v>
      </c>
      <c r="M1465" s="23">
        <v>42972</v>
      </c>
      <c r="N1465" s="22">
        <v>755.23800000000006</v>
      </c>
      <c r="O1465">
        <f t="shared" si="45"/>
        <v>7.2373914755674562E-4</v>
      </c>
    </row>
    <row r="1466" spans="7:15" x14ac:dyDescent="0.25">
      <c r="G1466" s="23">
        <v>43006</v>
      </c>
      <c r="H1466" s="22">
        <v>320.39569999999998</v>
      </c>
      <c r="I1466">
        <f t="shared" si="44"/>
        <v>4.3402682910298473E-4</v>
      </c>
      <c r="J1466" s="23">
        <v>43006</v>
      </c>
      <c r="K1466" s="22">
        <v>598.40099999999995</v>
      </c>
      <c r="L1466">
        <f t="shared" si="44"/>
        <v>-1.0908857207483358E-3</v>
      </c>
      <c r="M1466" s="23">
        <v>42975</v>
      </c>
      <c r="N1466" s="22">
        <v>755.24620000000004</v>
      </c>
      <c r="O1466">
        <f t="shared" si="45"/>
        <v>1.0857504521677441E-5</v>
      </c>
    </row>
    <row r="1467" spans="7:15" x14ac:dyDescent="0.25">
      <c r="G1467" s="23">
        <v>43007</v>
      </c>
      <c r="H1467" s="22">
        <v>320.28500000000003</v>
      </c>
      <c r="I1467">
        <f t="shared" si="44"/>
        <v>-3.4551025497520094E-4</v>
      </c>
      <c r="J1467" s="23">
        <v>43007</v>
      </c>
      <c r="K1467" s="22">
        <v>601.7192</v>
      </c>
      <c r="L1467">
        <f t="shared" si="44"/>
        <v>5.545111054293006E-3</v>
      </c>
      <c r="M1467" s="23">
        <v>42976</v>
      </c>
      <c r="N1467" s="22">
        <v>734.59550000000002</v>
      </c>
      <c r="O1467">
        <f t="shared" si="45"/>
        <v>-2.7343004175327201E-2</v>
      </c>
    </row>
    <row r="1468" spans="7:15" x14ac:dyDescent="0.25">
      <c r="G1468" s="23">
        <v>43010</v>
      </c>
      <c r="H1468" s="22">
        <v>320.34440000000001</v>
      </c>
      <c r="I1468">
        <f t="shared" si="44"/>
        <v>1.8545982484341472E-4</v>
      </c>
      <c r="J1468" s="23">
        <v>43010</v>
      </c>
      <c r="K1468" s="22">
        <v>601.65239999999994</v>
      </c>
      <c r="L1468">
        <f t="shared" si="44"/>
        <v>-1.1101523767242938E-4</v>
      </c>
      <c r="M1468" s="23">
        <v>42977</v>
      </c>
      <c r="N1468" s="22">
        <v>755.78049999999996</v>
      </c>
      <c r="O1468">
        <f t="shared" si="45"/>
        <v>2.8839000511165613E-2</v>
      </c>
    </row>
    <row r="1469" spans="7:15" x14ac:dyDescent="0.25">
      <c r="G1469" s="23">
        <v>43011</v>
      </c>
      <c r="H1469" s="22">
        <v>319.43639999999999</v>
      </c>
      <c r="I1469">
        <f t="shared" si="44"/>
        <v>-2.8344494238077278E-3</v>
      </c>
      <c r="J1469" s="23">
        <v>43011</v>
      </c>
      <c r="K1469" s="22">
        <v>601.48829999999998</v>
      </c>
      <c r="L1469">
        <f t="shared" si="44"/>
        <v>-2.7274884966799195E-4</v>
      </c>
      <c r="M1469" s="23">
        <v>42978</v>
      </c>
      <c r="N1469" s="22">
        <v>761.17619999999999</v>
      </c>
      <c r="O1469">
        <f t="shared" si="45"/>
        <v>7.1392421476870194E-3</v>
      </c>
    </row>
    <row r="1470" spans="7:15" x14ac:dyDescent="0.25">
      <c r="G1470" s="23">
        <v>43012</v>
      </c>
      <c r="H1470" s="22">
        <v>320.15609999999998</v>
      </c>
      <c r="I1470">
        <f t="shared" si="44"/>
        <v>2.2530306502326347E-3</v>
      </c>
      <c r="J1470" s="23">
        <v>43012</v>
      </c>
      <c r="K1470" s="22">
        <v>601.00040000000001</v>
      </c>
      <c r="L1470">
        <f t="shared" si="44"/>
        <v>-8.1115459768710263E-4</v>
      </c>
      <c r="M1470" s="23">
        <v>42979</v>
      </c>
      <c r="N1470" s="22">
        <v>761.12950000000001</v>
      </c>
      <c r="O1470">
        <f t="shared" si="45"/>
        <v>-6.1352417482285482E-5</v>
      </c>
    </row>
    <row r="1471" spans="7:15" x14ac:dyDescent="0.25">
      <c r="G1471" s="23">
        <v>43013</v>
      </c>
      <c r="H1471" s="22">
        <v>320.24939999999998</v>
      </c>
      <c r="I1471">
        <f t="shared" si="44"/>
        <v>2.9142034151474761E-4</v>
      </c>
      <c r="J1471" s="23">
        <v>43013</v>
      </c>
      <c r="K1471" s="22">
        <v>600.5308</v>
      </c>
      <c r="L1471">
        <f t="shared" si="44"/>
        <v>-7.8136387263638696E-4</v>
      </c>
      <c r="M1471" s="23">
        <v>42982</v>
      </c>
      <c r="N1471" s="22">
        <v>761.12950000000001</v>
      </c>
      <c r="O1471">
        <f t="shared" si="45"/>
        <v>0</v>
      </c>
    </row>
    <row r="1472" spans="7:15" x14ac:dyDescent="0.25">
      <c r="G1472" s="23">
        <v>43014</v>
      </c>
      <c r="H1472" s="22">
        <v>320.29469999999998</v>
      </c>
      <c r="I1472">
        <f t="shared" si="44"/>
        <v>1.4145225564821118E-4</v>
      </c>
      <c r="J1472" s="23">
        <v>43014</v>
      </c>
      <c r="K1472" s="22">
        <v>600.28210000000001</v>
      </c>
      <c r="L1472">
        <f t="shared" si="44"/>
        <v>-4.1413362978215407E-4</v>
      </c>
      <c r="M1472" s="23">
        <v>42983</v>
      </c>
      <c r="N1472" s="22">
        <v>760.92629999999997</v>
      </c>
      <c r="O1472">
        <f t="shared" si="45"/>
        <v>-2.6697165199884854E-4</v>
      </c>
    </row>
    <row r="1473" spans="7:15" x14ac:dyDescent="0.25">
      <c r="G1473" s="23">
        <v>43017</v>
      </c>
      <c r="H1473" s="22">
        <v>320.29469999999998</v>
      </c>
      <c r="I1473">
        <f t="shared" si="44"/>
        <v>0</v>
      </c>
      <c r="J1473" s="23">
        <v>43017</v>
      </c>
      <c r="K1473" s="22">
        <v>600.28210000000001</v>
      </c>
      <c r="L1473">
        <f t="shared" si="44"/>
        <v>0</v>
      </c>
      <c r="M1473" s="23">
        <v>42984</v>
      </c>
      <c r="N1473" s="22">
        <v>758.41790000000003</v>
      </c>
      <c r="O1473">
        <f t="shared" si="45"/>
        <v>-3.2965084792048183E-3</v>
      </c>
    </row>
    <row r="1474" spans="7:15" x14ac:dyDescent="0.25">
      <c r="G1474" s="23">
        <v>43018</v>
      </c>
      <c r="H1474" s="22">
        <v>320.50839999999999</v>
      </c>
      <c r="I1474">
        <f t="shared" si="44"/>
        <v>6.6719805229387141E-4</v>
      </c>
      <c r="J1474" s="23">
        <v>43018</v>
      </c>
      <c r="K1474" s="22">
        <v>600.30460000000005</v>
      </c>
      <c r="L1474">
        <f t="shared" si="44"/>
        <v>3.7482377035713554E-5</v>
      </c>
      <c r="M1474" s="23">
        <v>42985</v>
      </c>
      <c r="N1474" s="22">
        <v>758.78650000000005</v>
      </c>
      <c r="O1474">
        <f t="shared" si="45"/>
        <v>4.860117357461391E-4</v>
      </c>
    </row>
    <row r="1475" spans="7:15" x14ac:dyDescent="0.25">
      <c r="G1475" s="23">
        <v>43019</v>
      </c>
      <c r="H1475" s="22">
        <v>320.43759999999997</v>
      </c>
      <c r="I1475">
        <f t="shared" si="44"/>
        <v>-2.2089904663968873E-4</v>
      </c>
      <c r="J1475" s="23">
        <v>43019</v>
      </c>
      <c r="K1475" s="22">
        <v>600.31949999999995</v>
      </c>
      <c r="L1475">
        <f t="shared" si="44"/>
        <v>2.4820732674513124E-5</v>
      </c>
      <c r="M1475" s="23">
        <v>42986</v>
      </c>
      <c r="N1475" s="22">
        <v>758.80240000000003</v>
      </c>
      <c r="O1475">
        <f t="shared" si="45"/>
        <v>2.095451091976841E-5</v>
      </c>
    </row>
    <row r="1476" spans="7:15" x14ac:dyDescent="0.25">
      <c r="G1476" s="23">
        <v>43020</v>
      </c>
      <c r="H1476" s="22">
        <v>320.25830000000002</v>
      </c>
      <c r="I1476">
        <f t="shared" ref="I1476:L1539" si="46">H1476/H1475-1</f>
        <v>-5.5954731904106492E-4</v>
      </c>
      <c r="J1476" s="23">
        <v>43020</v>
      </c>
      <c r="K1476" s="22">
        <v>600.31700000000001</v>
      </c>
      <c r="L1476">
        <f t="shared" si="46"/>
        <v>-4.1644490974546144E-6</v>
      </c>
      <c r="M1476" s="23">
        <v>42989</v>
      </c>
      <c r="N1476" s="22">
        <v>759.22190000000001</v>
      </c>
      <c r="O1476">
        <f t="shared" ref="O1476:O1539" si="47">N1476/N1475-1</f>
        <v>5.5284485130768779E-4</v>
      </c>
    </row>
    <row r="1477" spans="7:15" x14ac:dyDescent="0.25">
      <c r="G1477" s="23">
        <v>43021</v>
      </c>
      <c r="H1477" s="22">
        <v>320.25049999999999</v>
      </c>
      <c r="I1477">
        <f t="shared" si="46"/>
        <v>-2.4355340673576364E-5</v>
      </c>
      <c r="J1477" s="23">
        <v>43021</v>
      </c>
      <c r="K1477" s="22">
        <v>600.15499999999997</v>
      </c>
      <c r="L1477">
        <f t="shared" si="46"/>
        <v>-2.6985742532703583E-4</v>
      </c>
      <c r="M1477" s="23">
        <v>42990</v>
      </c>
      <c r="N1477" s="22">
        <v>759.06179999999995</v>
      </c>
      <c r="O1477">
        <f t="shared" si="47"/>
        <v>-2.108737906533209E-4</v>
      </c>
    </row>
    <row r="1478" spans="7:15" x14ac:dyDescent="0.25">
      <c r="G1478" s="23">
        <v>43024</v>
      </c>
      <c r="H1478" s="22">
        <v>320.3526</v>
      </c>
      <c r="I1478">
        <f t="shared" si="46"/>
        <v>3.1881292925373117E-4</v>
      </c>
      <c r="J1478" s="23">
        <v>43024</v>
      </c>
      <c r="K1478" s="22">
        <v>600.14089999999999</v>
      </c>
      <c r="L1478">
        <f t="shared" si="46"/>
        <v>-2.3493930734530544E-5</v>
      </c>
      <c r="M1478" s="23">
        <v>42991</v>
      </c>
      <c r="N1478" s="22">
        <v>758.90390000000002</v>
      </c>
      <c r="O1478">
        <f t="shared" si="47"/>
        <v>-2.0801995305252952E-4</v>
      </c>
    </row>
    <row r="1479" spans="7:15" x14ac:dyDescent="0.25">
      <c r="G1479" s="23">
        <v>43025</v>
      </c>
      <c r="H1479" s="22">
        <v>320.29829999999998</v>
      </c>
      <c r="I1479">
        <f t="shared" si="46"/>
        <v>-1.6950073138166655E-4</v>
      </c>
      <c r="J1479" s="23">
        <v>43025</v>
      </c>
      <c r="K1479" s="22">
        <v>600.28689999999995</v>
      </c>
      <c r="L1479">
        <f t="shared" si="46"/>
        <v>2.4327620397146532E-4</v>
      </c>
      <c r="M1479" s="23">
        <v>42992</v>
      </c>
      <c r="N1479" s="22">
        <v>759.10109999999997</v>
      </c>
      <c r="O1479">
        <f t="shared" si="47"/>
        <v>2.5984844721449463E-4</v>
      </c>
    </row>
    <row r="1480" spans="7:15" x14ac:dyDescent="0.25">
      <c r="G1480" s="23">
        <v>43026</v>
      </c>
      <c r="H1480" s="22">
        <v>320.08640000000003</v>
      </c>
      <c r="I1480">
        <f t="shared" si="46"/>
        <v>-6.6157079197726176E-4</v>
      </c>
      <c r="J1480" s="23">
        <v>43026</v>
      </c>
      <c r="K1480" s="22">
        <v>600.14859999999999</v>
      </c>
      <c r="L1480">
        <f t="shared" si="46"/>
        <v>-2.3038983526035839E-4</v>
      </c>
      <c r="M1480" s="23">
        <v>42993</v>
      </c>
      <c r="N1480" s="22">
        <v>759.05110000000002</v>
      </c>
      <c r="O1480">
        <f t="shared" si="47"/>
        <v>-6.586737919356267E-5</v>
      </c>
    </row>
    <row r="1481" spans="7:15" x14ac:dyDescent="0.25">
      <c r="G1481" s="23">
        <v>43027</v>
      </c>
      <c r="H1481" s="22">
        <v>319.6164</v>
      </c>
      <c r="I1481">
        <f t="shared" si="46"/>
        <v>-1.4683535445431106E-3</v>
      </c>
      <c r="J1481" s="23">
        <v>43027</v>
      </c>
      <c r="K1481" s="22">
        <v>600.43560000000002</v>
      </c>
      <c r="L1481">
        <f t="shared" si="46"/>
        <v>4.7821489544430662E-4</v>
      </c>
      <c r="M1481" s="23">
        <v>42996</v>
      </c>
      <c r="N1481" s="22">
        <v>758.62739999999997</v>
      </c>
      <c r="O1481">
        <f t="shared" si="47"/>
        <v>-5.5819693825631678E-4</v>
      </c>
    </row>
    <row r="1482" spans="7:15" x14ac:dyDescent="0.25">
      <c r="G1482" s="23">
        <v>43028</v>
      </c>
      <c r="H1482" s="22">
        <v>319.56799999999998</v>
      </c>
      <c r="I1482">
        <f t="shared" si="46"/>
        <v>-1.5143152854490971E-4</v>
      </c>
      <c r="J1482" s="23">
        <v>43028</v>
      </c>
      <c r="K1482" s="22">
        <v>599.57539999999995</v>
      </c>
      <c r="L1482">
        <f t="shared" si="46"/>
        <v>-1.4326265797698357E-3</v>
      </c>
      <c r="M1482" s="23">
        <v>42997</v>
      </c>
      <c r="N1482" s="22">
        <v>758.63419999999996</v>
      </c>
      <c r="O1482">
        <f t="shared" si="47"/>
        <v>8.9635570768020756E-6</v>
      </c>
    </row>
    <row r="1483" spans="7:15" x14ac:dyDescent="0.25">
      <c r="G1483" s="23">
        <v>43031</v>
      </c>
      <c r="H1483" s="22">
        <v>319.4008</v>
      </c>
      <c r="I1483">
        <f t="shared" si="46"/>
        <v>-5.23206328543524E-4</v>
      </c>
      <c r="J1483" s="23">
        <v>43031</v>
      </c>
      <c r="K1483" s="22">
        <v>599.76250000000005</v>
      </c>
      <c r="L1483">
        <f t="shared" si="46"/>
        <v>3.120541636634222E-4</v>
      </c>
      <c r="M1483" s="23">
        <v>42998</v>
      </c>
      <c r="N1483" s="22">
        <v>758.66089999999997</v>
      </c>
      <c r="O1483">
        <f t="shared" si="47"/>
        <v>3.5194827757489833E-5</v>
      </c>
    </row>
    <row r="1484" spans="7:15" x14ac:dyDescent="0.25">
      <c r="G1484" s="23">
        <v>43032</v>
      </c>
      <c r="H1484" s="22">
        <v>319.43310000000002</v>
      </c>
      <c r="I1484">
        <f t="shared" si="46"/>
        <v>1.0112686004548621E-4</v>
      </c>
      <c r="J1484" s="23">
        <v>43032</v>
      </c>
      <c r="K1484" s="22">
        <v>600.04480000000001</v>
      </c>
      <c r="L1484">
        <f t="shared" si="46"/>
        <v>4.70686313332358E-4</v>
      </c>
      <c r="M1484" s="23">
        <v>42999</v>
      </c>
      <c r="N1484" s="22">
        <v>758.57889999999998</v>
      </c>
      <c r="O1484">
        <f t="shared" si="47"/>
        <v>-1.0808518008509349E-4</v>
      </c>
    </row>
    <row r="1485" spans="7:15" x14ac:dyDescent="0.25">
      <c r="G1485" s="23">
        <v>43033</v>
      </c>
      <c r="H1485" s="22">
        <v>318.56259999999997</v>
      </c>
      <c r="I1485">
        <f t="shared" si="46"/>
        <v>-2.7251402562854521E-3</v>
      </c>
      <c r="J1485" s="23">
        <v>43033</v>
      </c>
      <c r="K1485" s="22">
        <v>599.38300000000004</v>
      </c>
      <c r="L1485">
        <f t="shared" si="46"/>
        <v>-1.1029176488155379E-3</v>
      </c>
      <c r="M1485" s="23">
        <v>43000</v>
      </c>
      <c r="N1485" s="22">
        <v>758.41629999999998</v>
      </c>
      <c r="O1485">
        <f t="shared" si="47"/>
        <v>-2.1434817129761807E-4</v>
      </c>
    </row>
    <row r="1486" spans="7:15" x14ac:dyDescent="0.25">
      <c r="G1486" s="23">
        <v>43034</v>
      </c>
      <c r="H1486" s="22">
        <v>314.27670000000001</v>
      </c>
      <c r="I1486">
        <f t="shared" si="46"/>
        <v>-1.3453870605023899E-2</v>
      </c>
      <c r="J1486" s="23">
        <v>43034</v>
      </c>
      <c r="K1486" s="22">
        <v>600.27120000000002</v>
      </c>
      <c r="L1486">
        <f t="shared" si="46"/>
        <v>1.4818571764632082E-3</v>
      </c>
      <c r="M1486" s="23">
        <v>43003</v>
      </c>
      <c r="N1486" s="22">
        <v>758.52689999999996</v>
      </c>
      <c r="O1486">
        <f t="shared" si="47"/>
        <v>1.4583019906089234E-4</v>
      </c>
    </row>
    <row r="1487" spans="7:15" x14ac:dyDescent="0.25">
      <c r="G1487" s="23">
        <v>43035</v>
      </c>
      <c r="H1487" s="22">
        <v>314.18520000000001</v>
      </c>
      <c r="I1487">
        <f t="shared" si="46"/>
        <v>-2.911447141961121E-4</v>
      </c>
      <c r="J1487" s="23">
        <v>43035</v>
      </c>
      <c r="K1487" s="22">
        <v>598.7636</v>
      </c>
      <c r="L1487">
        <f t="shared" si="46"/>
        <v>-2.5115314544492673E-3</v>
      </c>
      <c r="M1487" s="23">
        <v>43004</v>
      </c>
      <c r="N1487" s="22">
        <v>758.53830000000005</v>
      </c>
      <c r="O1487">
        <f t="shared" si="47"/>
        <v>1.502913080608792E-5</v>
      </c>
    </row>
    <row r="1488" spans="7:15" x14ac:dyDescent="0.25">
      <c r="G1488" s="23">
        <v>43038</v>
      </c>
      <c r="H1488" s="22">
        <v>306.9228</v>
      </c>
      <c r="I1488">
        <f t="shared" si="46"/>
        <v>-2.3115028970174367E-2</v>
      </c>
      <c r="J1488" s="23">
        <v>43038</v>
      </c>
      <c r="K1488" s="22">
        <v>590.80930000000001</v>
      </c>
      <c r="L1488">
        <f t="shared" si="46"/>
        <v>-1.3284541678886264E-2</v>
      </c>
      <c r="M1488" s="23">
        <v>43005</v>
      </c>
      <c r="N1488" s="22">
        <v>758.51599999999996</v>
      </c>
      <c r="O1488">
        <f t="shared" si="47"/>
        <v>-2.9398647372280706E-5</v>
      </c>
    </row>
    <row r="1489" spans="7:15" x14ac:dyDescent="0.25">
      <c r="G1489" s="23">
        <v>43039</v>
      </c>
      <c r="H1489" s="22">
        <v>282.06509999999997</v>
      </c>
      <c r="I1489">
        <f t="shared" si="46"/>
        <v>-8.0990073073750168E-2</v>
      </c>
      <c r="J1489" s="23">
        <v>43039</v>
      </c>
      <c r="K1489" s="22">
        <v>591.09960000000001</v>
      </c>
      <c r="L1489">
        <f t="shared" si="46"/>
        <v>4.913599024254367E-4</v>
      </c>
      <c r="M1489" s="23">
        <v>43006</v>
      </c>
      <c r="N1489" s="22">
        <v>758.24749999999995</v>
      </c>
      <c r="O1489">
        <f t="shared" si="47"/>
        <v>-3.53980667513909E-4</v>
      </c>
    </row>
    <row r="1490" spans="7:15" x14ac:dyDescent="0.25">
      <c r="G1490" s="23">
        <v>43040</v>
      </c>
      <c r="H1490" s="22">
        <v>282.06819999999999</v>
      </c>
      <c r="I1490">
        <f t="shared" si="46"/>
        <v>1.0990370662655735E-5</v>
      </c>
      <c r="J1490" s="23">
        <v>43040</v>
      </c>
      <c r="K1490" s="22">
        <v>590.77650000000006</v>
      </c>
      <c r="L1490">
        <f t="shared" si="46"/>
        <v>-5.4660838884001972E-4</v>
      </c>
      <c r="M1490" s="23">
        <v>43007</v>
      </c>
      <c r="N1490" s="22">
        <v>761.71320000000003</v>
      </c>
      <c r="O1490">
        <f t="shared" si="47"/>
        <v>4.5706711858595206E-3</v>
      </c>
    </row>
    <row r="1491" spans="7:15" x14ac:dyDescent="0.25">
      <c r="G1491" s="23">
        <v>43041</v>
      </c>
      <c r="H1491" s="22">
        <v>281.65929999999997</v>
      </c>
      <c r="I1491">
        <f t="shared" si="46"/>
        <v>-1.4496494110289859E-3</v>
      </c>
      <c r="J1491" s="23">
        <v>43041</v>
      </c>
      <c r="K1491" s="22">
        <v>589.85910000000001</v>
      </c>
      <c r="L1491">
        <f t="shared" si="46"/>
        <v>-1.5528715174013552E-3</v>
      </c>
      <c r="M1491" s="23">
        <v>43010</v>
      </c>
      <c r="N1491" s="22">
        <v>761.66079999999999</v>
      </c>
      <c r="O1491">
        <f t="shared" si="47"/>
        <v>-6.8792296103126205E-5</v>
      </c>
    </row>
    <row r="1492" spans="7:15" x14ac:dyDescent="0.25">
      <c r="G1492" s="23">
        <v>43042</v>
      </c>
      <c r="H1492" s="22">
        <v>282.36680000000001</v>
      </c>
      <c r="I1492">
        <f t="shared" si="46"/>
        <v>2.5119000153732696E-3</v>
      </c>
      <c r="J1492" s="23">
        <v>43042</v>
      </c>
      <c r="K1492" s="22">
        <v>587.11199999999997</v>
      </c>
      <c r="L1492">
        <f t="shared" si="46"/>
        <v>-4.6572139007434732E-3</v>
      </c>
      <c r="M1492" s="23">
        <v>43011</v>
      </c>
      <c r="N1492" s="22">
        <v>762.00689999999997</v>
      </c>
      <c r="O1492">
        <f t="shared" si="47"/>
        <v>4.5440174944011424E-4</v>
      </c>
    </row>
    <row r="1493" spans="7:15" x14ac:dyDescent="0.25">
      <c r="G1493" s="23">
        <v>43045</v>
      </c>
      <c r="H1493" s="22">
        <v>280.85129999999998</v>
      </c>
      <c r="I1493">
        <f t="shared" si="46"/>
        <v>-5.3671323965849282E-3</v>
      </c>
      <c r="J1493" s="23">
        <v>43045</v>
      </c>
      <c r="K1493" s="22">
        <v>585.77260000000001</v>
      </c>
      <c r="L1493">
        <f t="shared" si="46"/>
        <v>-2.2813364400658953E-3</v>
      </c>
      <c r="M1493" s="23">
        <v>43012</v>
      </c>
      <c r="N1493" s="22">
        <v>760.98950000000002</v>
      </c>
      <c r="O1493">
        <f t="shared" si="47"/>
        <v>-1.3351585136563981E-3</v>
      </c>
    </row>
    <row r="1494" spans="7:15" x14ac:dyDescent="0.25">
      <c r="G1494" s="23">
        <v>43046</v>
      </c>
      <c r="H1494" s="22">
        <v>280.9522</v>
      </c>
      <c r="I1494">
        <f t="shared" si="46"/>
        <v>3.5926484940618231E-4</v>
      </c>
      <c r="J1494" s="23">
        <v>43046</v>
      </c>
      <c r="K1494" s="22">
        <v>585.76469999999995</v>
      </c>
      <c r="L1494">
        <f t="shared" si="46"/>
        <v>-1.3486462152823009E-5</v>
      </c>
      <c r="M1494" s="23">
        <v>43013</v>
      </c>
      <c r="N1494" s="22">
        <v>760.77139999999997</v>
      </c>
      <c r="O1494">
        <f t="shared" si="47"/>
        <v>-2.8660053785245498E-4</v>
      </c>
    </row>
    <row r="1495" spans="7:15" x14ac:dyDescent="0.25">
      <c r="G1495" s="23">
        <v>43047</v>
      </c>
      <c r="H1495" s="22">
        <v>280.76639999999998</v>
      </c>
      <c r="I1495">
        <f t="shared" si="46"/>
        <v>-6.613224598348566E-4</v>
      </c>
      <c r="J1495" s="23">
        <v>43047</v>
      </c>
      <c r="K1495" s="22">
        <v>585.4556</v>
      </c>
      <c r="L1495">
        <f t="shared" si="46"/>
        <v>-5.2768628768506964E-4</v>
      </c>
      <c r="M1495" s="23">
        <v>43014</v>
      </c>
      <c r="N1495" s="22">
        <v>760.7509</v>
      </c>
      <c r="O1495">
        <f t="shared" si="47"/>
        <v>-2.694633368183208E-5</v>
      </c>
    </row>
    <row r="1496" spans="7:15" x14ac:dyDescent="0.25">
      <c r="G1496" s="23">
        <v>43048</v>
      </c>
      <c r="H1496" s="22">
        <v>280.47039999999998</v>
      </c>
      <c r="I1496">
        <f t="shared" si="46"/>
        <v>-1.0542572045657561E-3</v>
      </c>
      <c r="J1496" s="23">
        <v>43048</v>
      </c>
      <c r="K1496" s="22">
        <v>584.70550000000003</v>
      </c>
      <c r="L1496">
        <f t="shared" si="46"/>
        <v>-1.2812244002790019E-3</v>
      </c>
      <c r="M1496" s="23">
        <v>43017</v>
      </c>
      <c r="N1496" s="22">
        <v>760.7509</v>
      </c>
      <c r="O1496">
        <f t="shared" si="47"/>
        <v>0</v>
      </c>
    </row>
    <row r="1497" spans="7:15" x14ac:dyDescent="0.25">
      <c r="G1497" s="23">
        <v>43049</v>
      </c>
      <c r="H1497" s="22">
        <v>280.48540000000003</v>
      </c>
      <c r="I1497">
        <f t="shared" si="46"/>
        <v>5.3481579517900002E-5</v>
      </c>
      <c r="J1497" s="23">
        <v>43049</v>
      </c>
      <c r="K1497" s="22">
        <v>582.75909999999999</v>
      </c>
      <c r="L1497">
        <f t="shared" si="46"/>
        <v>-3.3288552955291761E-3</v>
      </c>
      <c r="M1497" s="23">
        <v>43018</v>
      </c>
      <c r="N1497" s="22">
        <v>760.51980000000003</v>
      </c>
      <c r="O1497">
        <f t="shared" si="47"/>
        <v>-3.0377880591392348E-4</v>
      </c>
    </row>
    <row r="1498" spans="7:15" x14ac:dyDescent="0.25">
      <c r="G1498" s="23">
        <v>43052</v>
      </c>
      <c r="H1498" s="22">
        <v>280.46749999999997</v>
      </c>
      <c r="I1498">
        <f t="shared" si="46"/>
        <v>-6.3817938473986757E-5</v>
      </c>
      <c r="J1498" s="23">
        <v>43052</v>
      </c>
      <c r="K1498" s="22">
        <v>582.65650000000005</v>
      </c>
      <c r="L1498">
        <f t="shared" si="46"/>
        <v>-1.7605902679163066E-4</v>
      </c>
      <c r="M1498" s="23">
        <v>43019</v>
      </c>
      <c r="N1498" s="22">
        <v>760.52739999999994</v>
      </c>
      <c r="O1498">
        <f t="shared" si="47"/>
        <v>9.9931652008944383E-6</v>
      </c>
    </row>
    <row r="1499" spans="7:15" x14ac:dyDescent="0.25">
      <c r="G1499" s="23">
        <v>43053</v>
      </c>
      <c r="H1499" s="22">
        <v>280.4341</v>
      </c>
      <c r="I1499">
        <f t="shared" si="46"/>
        <v>-1.1908688172412862E-4</v>
      </c>
      <c r="J1499" s="23">
        <v>43053</v>
      </c>
      <c r="K1499" s="22">
        <v>582.21190000000001</v>
      </c>
      <c r="L1499">
        <f t="shared" si="46"/>
        <v>-7.6305679246702063E-4</v>
      </c>
      <c r="M1499" s="23">
        <v>43020</v>
      </c>
      <c r="N1499" s="22">
        <v>761.15880000000004</v>
      </c>
      <c r="O1499">
        <f t="shared" si="47"/>
        <v>8.30213349315434E-4</v>
      </c>
    </row>
    <row r="1500" spans="7:15" x14ac:dyDescent="0.25">
      <c r="G1500" s="23">
        <v>43054</v>
      </c>
      <c r="H1500" s="22">
        <v>279.80309999999997</v>
      </c>
      <c r="I1500">
        <f t="shared" si="46"/>
        <v>-2.2500829963261193E-3</v>
      </c>
      <c r="J1500" s="23">
        <v>43054</v>
      </c>
      <c r="K1500" s="22">
        <v>580.91790000000003</v>
      </c>
      <c r="L1500">
        <f t="shared" si="46"/>
        <v>-2.2225584877257898E-3</v>
      </c>
      <c r="M1500" s="23">
        <v>43021</v>
      </c>
      <c r="N1500" s="22">
        <v>761.16499999999996</v>
      </c>
      <c r="O1500">
        <f t="shared" si="47"/>
        <v>8.1454750309184476E-6</v>
      </c>
    </row>
    <row r="1501" spans="7:15" x14ac:dyDescent="0.25">
      <c r="G1501" s="23">
        <v>43055</v>
      </c>
      <c r="H1501" s="22">
        <v>279.5335</v>
      </c>
      <c r="I1501">
        <f t="shared" si="46"/>
        <v>-9.6353471423282766E-4</v>
      </c>
      <c r="J1501" s="23">
        <v>43055</v>
      </c>
      <c r="K1501" s="22">
        <v>580.73490000000004</v>
      </c>
      <c r="L1501">
        <f t="shared" si="46"/>
        <v>-3.1501869713435049E-4</v>
      </c>
      <c r="M1501" s="23">
        <v>43024</v>
      </c>
      <c r="N1501" s="22">
        <v>761.73659999999995</v>
      </c>
      <c r="O1501">
        <f t="shared" si="47"/>
        <v>7.5095412952519425E-4</v>
      </c>
    </row>
    <row r="1502" spans="7:15" x14ac:dyDescent="0.25">
      <c r="G1502" s="23">
        <v>43056</v>
      </c>
      <c r="H1502" s="22">
        <v>278.12130000000002</v>
      </c>
      <c r="I1502">
        <f t="shared" si="46"/>
        <v>-5.0519884021056338E-3</v>
      </c>
      <c r="J1502" s="23">
        <v>43056</v>
      </c>
      <c r="K1502" s="22">
        <v>580.20150000000001</v>
      </c>
      <c r="L1502">
        <f t="shared" si="46"/>
        <v>-9.1849138049049373E-4</v>
      </c>
      <c r="M1502" s="23">
        <v>43025</v>
      </c>
      <c r="N1502" s="22">
        <v>761.59230000000002</v>
      </c>
      <c r="O1502">
        <f t="shared" si="47"/>
        <v>-1.8943556079609181E-4</v>
      </c>
    </row>
    <row r="1503" spans="7:15" x14ac:dyDescent="0.25">
      <c r="G1503" s="23">
        <v>43059</v>
      </c>
      <c r="H1503" s="22">
        <v>278.02460000000002</v>
      </c>
      <c r="I1503">
        <f t="shared" si="46"/>
        <v>-3.4769001870771366E-4</v>
      </c>
      <c r="J1503" s="23">
        <v>43059</v>
      </c>
      <c r="K1503" s="22">
        <v>579.75580000000002</v>
      </c>
      <c r="L1503">
        <f t="shared" si="46"/>
        <v>-7.6818139904843985E-4</v>
      </c>
      <c r="M1503" s="23">
        <v>43026</v>
      </c>
      <c r="N1503" s="22">
        <v>761.80110000000002</v>
      </c>
      <c r="O1503">
        <f t="shared" si="47"/>
        <v>2.7416243572830901E-4</v>
      </c>
    </row>
    <row r="1504" spans="7:15" x14ac:dyDescent="0.25">
      <c r="G1504" s="23">
        <v>43060</v>
      </c>
      <c r="H1504" s="22">
        <v>276.7208</v>
      </c>
      <c r="I1504">
        <f t="shared" si="46"/>
        <v>-4.6895130862522061E-3</v>
      </c>
      <c r="J1504" s="23">
        <v>43060</v>
      </c>
      <c r="K1504" s="22">
        <v>579.07510000000002</v>
      </c>
      <c r="L1504">
        <f t="shared" si="46"/>
        <v>-1.1741150325705885E-3</v>
      </c>
      <c r="M1504" s="23">
        <v>43027</v>
      </c>
      <c r="N1504" s="22">
        <v>762.39110000000005</v>
      </c>
      <c r="O1504">
        <f t="shared" si="47"/>
        <v>7.7448037289529204E-4</v>
      </c>
    </row>
    <row r="1505" spans="7:15" x14ac:dyDescent="0.25">
      <c r="G1505" s="23">
        <v>43061</v>
      </c>
      <c r="H1505" s="22">
        <v>276.64879999999999</v>
      </c>
      <c r="I1505">
        <f t="shared" si="46"/>
        <v>-2.6019005437971643E-4</v>
      </c>
      <c r="J1505" s="23">
        <v>43061</v>
      </c>
      <c r="K1505" s="22">
        <v>578.97640000000001</v>
      </c>
      <c r="L1505">
        <f t="shared" si="46"/>
        <v>-1.7044421353984429E-4</v>
      </c>
      <c r="M1505" s="23">
        <v>43028</v>
      </c>
      <c r="N1505" s="22">
        <v>762.85220000000004</v>
      </c>
      <c r="O1505">
        <f t="shared" si="47"/>
        <v>6.0480768991144629E-4</v>
      </c>
    </row>
    <row r="1506" spans="7:15" x14ac:dyDescent="0.25">
      <c r="G1506" s="23">
        <v>43062</v>
      </c>
      <c r="H1506" s="22">
        <v>276.64879999999999</v>
      </c>
      <c r="I1506">
        <f t="shared" si="46"/>
        <v>0</v>
      </c>
      <c r="J1506" s="23">
        <v>43062</v>
      </c>
      <c r="K1506" s="22">
        <v>578.97640000000001</v>
      </c>
      <c r="L1506">
        <f t="shared" si="46"/>
        <v>0</v>
      </c>
      <c r="M1506" s="23">
        <v>43031</v>
      </c>
      <c r="N1506" s="22">
        <v>762.83420000000001</v>
      </c>
      <c r="O1506">
        <f t="shared" si="47"/>
        <v>-2.3595658503738903E-5</v>
      </c>
    </row>
    <row r="1507" spans="7:15" x14ac:dyDescent="0.25">
      <c r="G1507" s="23">
        <v>43063</v>
      </c>
      <c r="H1507" s="22">
        <v>276.69260000000003</v>
      </c>
      <c r="I1507">
        <f t="shared" si="46"/>
        <v>1.5832347727529061E-4</v>
      </c>
      <c r="J1507" s="23">
        <v>43063</v>
      </c>
      <c r="K1507" s="22">
        <v>579.10260000000005</v>
      </c>
      <c r="L1507">
        <f t="shared" si="46"/>
        <v>2.1797088793262809E-4</v>
      </c>
      <c r="M1507" s="23">
        <v>43032</v>
      </c>
      <c r="N1507" s="22">
        <v>763.40909999999997</v>
      </c>
      <c r="O1507">
        <f t="shared" si="47"/>
        <v>7.536368977687502E-4</v>
      </c>
    </row>
    <row r="1508" spans="7:15" x14ac:dyDescent="0.25">
      <c r="G1508" s="23">
        <v>43066</v>
      </c>
      <c r="H1508" s="22">
        <v>276.21370000000002</v>
      </c>
      <c r="I1508">
        <f t="shared" si="46"/>
        <v>-1.7308016188362085E-3</v>
      </c>
      <c r="J1508" s="23">
        <v>43066</v>
      </c>
      <c r="K1508" s="22">
        <v>579.39760000000001</v>
      </c>
      <c r="L1508">
        <f t="shared" si="46"/>
        <v>5.0940886813477526E-4</v>
      </c>
      <c r="M1508" s="23">
        <v>43033</v>
      </c>
      <c r="N1508" s="22">
        <v>763.67840000000001</v>
      </c>
      <c r="O1508">
        <f t="shared" si="47"/>
        <v>3.5275974572490654E-4</v>
      </c>
    </row>
    <row r="1509" spans="7:15" x14ac:dyDescent="0.25">
      <c r="G1509" s="23">
        <v>43067</v>
      </c>
      <c r="H1509" s="22">
        <v>276.06040000000002</v>
      </c>
      <c r="I1509">
        <f t="shared" si="46"/>
        <v>-5.5500505586802973E-4</v>
      </c>
      <c r="J1509" s="23">
        <v>43067</v>
      </c>
      <c r="K1509" s="22">
        <v>578.45230000000004</v>
      </c>
      <c r="L1509">
        <f t="shared" si="46"/>
        <v>-1.6315221188351048E-3</v>
      </c>
      <c r="M1509" s="23">
        <v>43034</v>
      </c>
      <c r="N1509" s="22">
        <v>761.83950000000004</v>
      </c>
      <c r="O1509">
        <f t="shared" si="47"/>
        <v>-2.4079507813760115E-3</v>
      </c>
    </row>
    <row r="1510" spans="7:15" x14ac:dyDescent="0.25">
      <c r="G1510" s="23">
        <v>43068</v>
      </c>
      <c r="H1510" s="22">
        <v>275.82010000000002</v>
      </c>
      <c r="I1510">
        <f t="shared" si="46"/>
        <v>-8.7046168157400849E-4</v>
      </c>
      <c r="J1510" s="23">
        <v>43068</v>
      </c>
      <c r="K1510" s="22">
        <v>576.82529999999997</v>
      </c>
      <c r="L1510">
        <f t="shared" si="46"/>
        <v>-2.8126778992840773E-3</v>
      </c>
      <c r="M1510" s="23">
        <v>43035</v>
      </c>
      <c r="N1510" s="22">
        <v>758.27</v>
      </c>
      <c r="O1510">
        <f t="shared" si="47"/>
        <v>-4.6853700812311549E-3</v>
      </c>
    </row>
    <row r="1511" spans="7:15" x14ac:dyDescent="0.25">
      <c r="G1511" s="23">
        <v>43069</v>
      </c>
      <c r="H1511" s="22">
        <v>263.30619999999999</v>
      </c>
      <c r="I1511">
        <f t="shared" si="46"/>
        <v>-4.5369789946418049E-2</v>
      </c>
      <c r="J1511" s="23">
        <v>43069</v>
      </c>
      <c r="K1511" s="22">
        <v>579.49689999999998</v>
      </c>
      <c r="L1511">
        <f t="shared" si="46"/>
        <v>4.6315582898324159E-3</v>
      </c>
      <c r="M1511" s="23">
        <v>43038</v>
      </c>
      <c r="N1511" s="22">
        <v>756.17200000000003</v>
      </c>
      <c r="O1511">
        <f t="shared" si="47"/>
        <v>-2.766824482044572E-3</v>
      </c>
    </row>
    <row r="1512" spans="7:15" x14ac:dyDescent="0.25">
      <c r="G1512" s="23">
        <v>43070</v>
      </c>
      <c r="H1512" s="22">
        <v>263.30889999999999</v>
      </c>
      <c r="I1512">
        <f t="shared" si="46"/>
        <v>1.0254221131100749E-5</v>
      </c>
      <c r="J1512" s="23">
        <v>43070</v>
      </c>
      <c r="K1512" s="22">
        <v>578.41690000000006</v>
      </c>
      <c r="L1512">
        <f t="shared" si="46"/>
        <v>-1.8636855520709483E-3</v>
      </c>
      <c r="M1512" s="23">
        <v>43039</v>
      </c>
      <c r="N1512" s="22">
        <v>732.02340000000004</v>
      </c>
      <c r="O1512">
        <f t="shared" si="47"/>
        <v>-3.1935326883301696E-2</v>
      </c>
    </row>
    <row r="1513" spans="7:15" x14ac:dyDescent="0.25">
      <c r="G1513" s="23">
        <v>43073</v>
      </c>
      <c r="H1513" s="22">
        <v>263.22320000000002</v>
      </c>
      <c r="I1513">
        <f t="shared" si="46"/>
        <v>-3.2547323694709362E-4</v>
      </c>
      <c r="J1513" s="23">
        <v>43073</v>
      </c>
      <c r="K1513" s="22">
        <v>576.06089999999995</v>
      </c>
      <c r="L1513">
        <f t="shared" si="46"/>
        <v>-4.0731866582738308E-3</v>
      </c>
      <c r="M1513" s="23">
        <v>43040</v>
      </c>
      <c r="N1513" s="22">
        <v>732.6567</v>
      </c>
      <c r="O1513">
        <f t="shared" si="47"/>
        <v>8.6513627843043395E-4</v>
      </c>
    </row>
    <row r="1514" spans="7:15" x14ac:dyDescent="0.25">
      <c r="G1514" s="23">
        <v>43074</v>
      </c>
      <c r="H1514" s="22">
        <v>263.06540000000001</v>
      </c>
      <c r="I1514">
        <f t="shared" si="46"/>
        <v>-5.9949123025637707E-4</v>
      </c>
      <c r="J1514" s="23">
        <v>43074</v>
      </c>
      <c r="K1514" s="22">
        <v>576.01959999999997</v>
      </c>
      <c r="L1514">
        <f t="shared" si="46"/>
        <v>-7.1693808762152145E-5</v>
      </c>
      <c r="M1514" s="23">
        <v>43041</v>
      </c>
      <c r="N1514" s="22">
        <v>731.6585</v>
      </c>
      <c r="O1514">
        <f t="shared" si="47"/>
        <v>-1.3624389157977923E-3</v>
      </c>
    </row>
    <row r="1515" spans="7:15" x14ac:dyDescent="0.25">
      <c r="G1515" s="23">
        <v>43075</v>
      </c>
      <c r="H1515" s="22">
        <v>262.94659999999999</v>
      </c>
      <c r="I1515">
        <f t="shared" si="46"/>
        <v>-4.5159872792099875E-4</v>
      </c>
      <c r="J1515" s="23">
        <v>43075</v>
      </c>
      <c r="K1515" s="22">
        <v>576.01070000000004</v>
      </c>
      <c r="L1515">
        <f t="shared" si="46"/>
        <v>-1.5450863130261894E-5</v>
      </c>
      <c r="M1515" s="23">
        <v>43042</v>
      </c>
      <c r="N1515" s="22">
        <v>729.27120000000002</v>
      </c>
      <c r="O1515">
        <f t="shared" si="47"/>
        <v>-3.2628610205444053E-3</v>
      </c>
    </row>
    <row r="1516" spans="7:15" x14ac:dyDescent="0.25">
      <c r="G1516" s="23">
        <v>43076</v>
      </c>
      <c r="H1516" s="22">
        <v>262.9359</v>
      </c>
      <c r="I1516">
        <f t="shared" si="46"/>
        <v>-4.0692672960918053E-5</v>
      </c>
      <c r="J1516" s="23">
        <v>43076</v>
      </c>
      <c r="K1516" s="22">
        <v>576.05460000000005</v>
      </c>
      <c r="L1516">
        <f t="shared" si="46"/>
        <v>7.6213861999407939E-5</v>
      </c>
      <c r="M1516" s="23">
        <v>43045</v>
      </c>
      <c r="N1516" s="22">
        <v>729.38080000000002</v>
      </c>
      <c r="O1516">
        <f t="shared" si="47"/>
        <v>1.5028702628039348E-4</v>
      </c>
    </row>
    <row r="1517" spans="7:15" x14ac:dyDescent="0.25">
      <c r="G1517" s="23">
        <v>43077</v>
      </c>
      <c r="H1517" s="22">
        <v>262.76889999999997</v>
      </c>
      <c r="I1517">
        <f t="shared" si="46"/>
        <v>-6.3513578784801794E-4</v>
      </c>
      <c r="J1517" s="23">
        <v>43077</v>
      </c>
      <c r="K1517" s="22">
        <v>574.73350000000005</v>
      </c>
      <c r="L1517">
        <f t="shared" si="46"/>
        <v>-2.2933589975672186E-3</v>
      </c>
      <c r="M1517" s="23">
        <v>43046</v>
      </c>
      <c r="N1517" s="22">
        <v>729.18920000000003</v>
      </c>
      <c r="O1517">
        <f t="shared" si="47"/>
        <v>-2.6268857090838704E-4</v>
      </c>
    </row>
    <row r="1518" spans="7:15" x14ac:dyDescent="0.25">
      <c r="G1518" s="23">
        <v>43080</v>
      </c>
      <c r="H1518" s="22">
        <v>262.74599999999998</v>
      </c>
      <c r="I1518">
        <f t="shared" si="46"/>
        <v>-8.7148821645177676E-5</v>
      </c>
      <c r="J1518" s="23">
        <v>43080</v>
      </c>
      <c r="K1518" s="22">
        <v>574.6454</v>
      </c>
      <c r="L1518">
        <f t="shared" si="46"/>
        <v>-1.532884371626686E-4</v>
      </c>
      <c r="M1518" s="23">
        <v>43047</v>
      </c>
      <c r="N1518" s="22">
        <v>728.65639999999996</v>
      </c>
      <c r="O1518">
        <f t="shared" si="47"/>
        <v>-7.3067456292563726E-4</v>
      </c>
    </row>
    <row r="1519" spans="7:15" x14ac:dyDescent="0.25">
      <c r="G1519" s="23">
        <v>43081</v>
      </c>
      <c r="H1519" s="22">
        <v>262.66309999999999</v>
      </c>
      <c r="I1519">
        <f t="shared" si="46"/>
        <v>-3.1551384226591317E-4</v>
      </c>
      <c r="J1519" s="23">
        <v>43081</v>
      </c>
      <c r="K1519" s="22">
        <v>574.52449999999999</v>
      </c>
      <c r="L1519">
        <f t="shared" si="46"/>
        <v>-2.1039061654370972E-4</v>
      </c>
      <c r="M1519" s="23">
        <v>43048</v>
      </c>
      <c r="N1519" s="22">
        <v>728.57090000000005</v>
      </c>
      <c r="O1519">
        <f t="shared" si="47"/>
        <v>-1.1733925619794583E-4</v>
      </c>
    </row>
    <row r="1520" spans="7:15" x14ac:dyDescent="0.25">
      <c r="G1520" s="23">
        <v>43082</v>
      </c>
      <c r="H1520" s="22">
        <v>261.91629999999998</v>
      </c>
      <c r="I1520">
        <f t="shared" si="46"/>
        <v>-2.8431858148327827E-3</v>
      </c>
      <c r="J1520" s="23">
        <v>43082</v>
      </c>
      <c r="K1520" s="22">
        <v>573.36680000000001</v>
      </c>
      <c r="L1520">
        <f t="shared" si="46"/>
        <v>-2.015057669429221E-3</v>
      </c>
      <c r="M1520" s="23">
        <v>43049</v>
      </c>
      <c r="N1520" s="22">
        <v>728.59090000000003</v>
      </c>
      <c r="O1520">
        <f t="shared" si="47"/>
        <v>2.7451000307543438E-5</v>
      </c>
    </row>
    <row r="1521" spans="7:15" x14ac:dyDescent="0.25">
      <c r="G1521" s="23">
        <v>43083</v>
      </c>
      <c r="H1521" s="22">
        <v>261.47620000000001</v>
      </c>
      <c r="I1521">
        <f t="shared" si="46"/>
        <v>-1.6803077929856691E-3</v>
      </c>
      <c r="J1521" s="23">
        <v>43083</v>
      </c>
      <c r="K1521" s="22">
        <v>572.60879999999997</v>
      </c>
      <c r="L1521">
        <f t="shared" si="46"/>
        <v>-1.3220158544234861E-3</v>
      </c>
      <c r="M1521" s="23">
        <v>43052</v>
      </c>
      <c r="N1521" s="22">
        <v>728.48910000000001</v>
      </c>
      <c r="O1521">
        <f t="shared" si="47"/>
        <v>-1.3972175606369319E-4</v>
      </c>
    </row>
    <row r="1522" spans="7:15" x14ac:dyDescent="0.25">
      <c r="G1522" s="23">
        <v>43084</v>
      </c>
      <c r="H1522" s="22">
        <v>261.47179999999997</v>
      </c>
      <c r="I1522">
        <f t="shared" si="46"/>
        <v>-1.6827535355146139E-5</v>
      </c>
      <c r="J1522" s="23">
        <v>43084</v>
      </c>
      <c r="K1522" s="22">
        <v>572.67139999999995</v>
      </c>
      <c r="L1522">
        <f t="shared" si="46"/>
        <v>1.0932420179354807E-4</v>
      </c>
      <c r="M1522" s="23">
        <v>43053</v>
      </c>
      <c r="N1522" s="22">
        <v>727.95039999999995</v>
      </c>
      <c r="O1522">
        <f t="shared" si="47"/>
        <v>-7.3947571761889819E-4</v>
      </c>
    </row>
    <row r="1523" spans="7:15" x14ac:dyDescent="0.25">
      <c r="G1523" s="23">
        <v>43087</v>
      </c>
      <c r="H1523" s="22">
        <v>260.95839999999998</v>
      </c>
      <c r="I1523">
        <f t="shared" si="46"/>
        <v>-1.9635004616176399E-3</v>
      </c>
      <c r="J1523" s="23">
        <v>43087</v>
      </c>
      <c r="K1523" s="22">
        <v>572.24770000000001</v>
      </c>
      <c r="L1523">
        <f t="shared" si="46"/>
        <v>-7.3986582881546692E-4</v>
      </c>
      <c r="M1523" s="23">
        <v>43054</v>
      </c>
      <c r="N1523" s="22">
        <v>727.41099999999994</v>
      </c>
      <c r="O1523">
        <f t="shared" si="47"/>
        <v>-7.4098455059579127E-4</v>
      </c>
    </row>
    <row r="1524" spans="7:15" x14ac:dyDescent="0.25">
      <c r="G1524" s="23">
        <v>43088</v>
      </c>
      <c r="H1524" s="22">
        <v>260.98579999999998</v>
      </c>
      <c r="I1524">
        <f t="shared" si="46"/>
        <v>1.0499757815796151E-4</v>
      </c>
      <c r="J1524" s="23">
        <v>43088</v>
      </c>
      <c r="K1524" s="22">
        <v>572.41330000000005</v>
      </c>
      <c r="L1524">
        <f t="shared" si="46"/>
        <v>2.8938517358834126E-4</v>
      </c>
      <c r="M1524" s="23">
        <v>43055</v>
      </c>
      <c r="N1524" s="22">
        <v>727.10069999999996</v>
      </c>
      <c r="O1524">
        <f t="shared" si="47"/>
        <v>-4.2658139621198909E-4</v>
      </c>
    </row>
    <row r="1525" spans="7:15" x14ac:dyDescent="0.25">
      <c r="G1525" s="23">
        <v>43089</v>
      </c>
      <c r="H1525" s="22">
        <v>259.93189999999998</v>
      </c>
      <c r="I1525">
        <f t="shared" si="46"/>
        <v>-4.0381507346376466E-3</v>
      </c>
      <c r="J1525" s="23">
        <v>43089</v>
      </c>
      <c r="K1525" s="22">
        <v>573.10500000000002</v>
      </c>
      <c r="L1525">
        <f t="shared" si="46"/>
        <v>1.2083926072297135E-3</v>
      </c>
      <c r="M1525" s="23">
        <v>43056</v>
      </c>
      <c r="N1525" s="22">
        <v>725.78420000000006</v>
      </c>
      <c r="O1525">
        <f t="shared" si="47"/>
        <v>-1.8106157785295895E-3</v>
      </c>
    </row>
    <row r="1526" spans="7:15" x14ac:dyDescent="0.25">
      <c r="G1526" s="23">
        <v>43090</v>
      </c>
      <c r="H1526" s="22">
        <v>260.15710000000001</v>
      </c>
      <c r="I1526">
        <f t="shared" si="46"/>
        <v>8.6638077127143553E-4</v>
      </c>
      <c r="J1526" s="23">
        <v>43090</v>
      </c>
      <c r="K1526" s="22">
        <v>569.28560000000004</v>
      </c>
      <c r="L1526">
        <f t="shared" si="46"/>
        <v>-6.6643983214245139E-3</v>
      </c>
      <c r="M1526" s="23">
        <v>43059</v>
      </c>
      <c r="N1526" s="22">
        <v>725.99239999999998</v>
      </c>
      <c r="O1526">
        <f t="shared" si="47"/>
        <v>2.8686212788864296E-4</v>
      </c>
    </row>
    <row r="1527" spans="7:15" x14ac:dyDescent="0.25">
      <c r="G1527" s="23">
        <v>43091</v>
      </c>
      <c r="H1527" s="22">
        <v>260.02659999999997</v>
      </c>
      <c r="I1527">
        <f t="shared" si="46"/>
        <v>-5.016199826952672E-4</v>
      </c>
      <c r="J1527" s="23">
        <v>43091</v>
      </c>
      <c r="K1527" s="22">
        <v>533.58299999999997</v>
      </c>
      <c r="L1527">
        <f t="shared" si="46"/>
        <v>-6.2714742828555825E-2</v>
      </c>
      <c r="M1527" s="23">
        <v>43060</v>
      </c>
      <c r="N1527" s="22">
        <v>726.15049999999997</v>
      </c>
      <c r="O1527">
        <f t="shared" si="47"/>
        <v>2.1777087473640044E-4</v>
      </c>
    </row>
    <row r="1528" spans="7:15" x14ac:dyDescent="0.25">
      <c r="G1528" s="23">
        <v>43094</v>
      </c>
      <c r="H1528" s="22">
        <v>260.02659999999997</v>
      </c>
      <c r="I1528">
        <f t="shared" si="46"/>
        <v>0</v>
      </c>
      <c r="J1528" s="23">
        <v>43094</v>
      </c>
      <c r="K1528" s="22">
        <v>533.58299999999997</v>
      </c>
      <c r="L1528">
        <f t="shared" si="46"/>
        <v>0</v>
      </c>
      <c r="M1528" s="23">
        <v>43061</v>
      </c>
      <c r="N1528" s="22">
        <v>726.00390000000004</v>
      </c>
      <c r="O1528">
        <f t="shared" si="47"/>
        <v>-2.0188652352359782E-4</v>
      </c>
    </row>
    <row r="1529" spans="7:15" x14ac:dyDescent="0.25">
      <c r="G1529" s="23">
        <v>43095</v>
      </c>
      <c r="H1529" s="22">
        <v>259.93430000000001</v>
      </c>
      <c r="I1529">
        <f t="shared" si="46"/>
        <v>-3.5496368448451054E-4</v>
      </c>
      <c r="J1529" s="23">
        <v>43095</v>
      </c>
      <c r="K1529" s="22">
        <v>533.7047</v>
      </c>
      <c r="L1529">
        <f t="shared" si="46"/>
        <v>2.2808072970836868E-4</v>
      </c>
      <c r="M1529" s="23">
        <v>43062</v>
      </c>
      <c r="N1529" s="22">
        <v>726.00390000000004</v>
      </c>
      <c r="O1529">
        <f t="shared" si="47"/>
        <v>0</v>
      </c>
    </row>
    <row r="1530" spans="7:15" x14ac:dyDescent="0.25">
      <c r="G1530" s="23">
        <v>43096</v>
      </c>
      <c r="H1530" s="22">
        <v>259.86320000000001</v>
      </c>
      <c r="I1530">
        <f t="shared" si="46"/>
        <v>-2.7353065755464367E-4</v>
      </c>
      <c r="J1530" s="23">
        <v>43096</v>
      </c>
      <c r="K1530" s="22">
        <v>533.64829999999995</v>
      </c>
      <c r="L1530">
        <f t="shared" si="46"/>
        <v>-1.0567641619052548E-4</v>
      </c>
      <c r="M1530" s="23">
        <v>43063</v>
      </c>
      <c r="N1530" s="22">
        <v>725.98850000000004</v>
      </c>
      <c r="O1530">
        <f t="shared" si="47"/>
        <v>-2.1212007263349264E-5</v>
      </c>
    </row>
    <row r="1531" spans="7:15" x14ac:dyDescent="0.25">
      <c r="G1531" s="23">
        <v>43097</v>
      </c>
      <c r="H1531" s="22">
        <v>259.91250000000002</v>
      </c>
      <c r="I1531">
        <f t="shared" si="46"/>
        <v>1.8971520399979624E-4</v>
      </c>
      <c r="J1531" s="23">
        <v>43097</v>
      </c>
      <c r="K1531" s="22">
        <v>533.72590000000002</v>
      </c>
      <c r="L1531">
        <f t="shared" si="46"/>
        <v>1.4541412387170105E-4</v>
      </c>
      <c r="M1531" s="23">
        <v>43066</v>
      </c>
      <c r="N1531" s="22">
        <v>725.99659999999994</v>
      </c>
      <c r="O1531">
        <f t="shared" si="47"/>
        <v>1.1157201525779925E-5</v>
      </c>
    </row>
    <row r="1532" spans="7:15" x14ac:dyDescent="0.25">
      <c r="G1532" s="23">
        <v>43098</v>
      </c>
      <c r="H1532" s="22">
        <v>260.8408</v>
      </c>
      <c r="I1532">
        <f t="shared" si="46"/>
        <v>3.5715865916412515E-3</v>
      </c>
      <c r="J1532" s="23">
        <v>43098</v>
      </c>
      <c r="K1532" s="22">
        <v>535.64279999999997</v>
      </c>
      <c r="L1532">
        <f t="shared" si="46"/>
        <v>3.5915438992186743E-3</v>
      </c>
      <c r="M1532" s="23">
        <v>43067</v>
      </c>
      <c r="N1532" s="22">
        <v>721.96040000000005</v>
      </c>
      <c r="O1532">
        <f t="shared" si="47"/>
        <v>-5.5595301685984477E-3</v>
      </c>
    </row>
    <row r="1533" spans="7:15" x14ac:dyDescent="0.25">
      <c r="G1533" s="23">
        <v>43101</v>
      </c>
      <c r="H1533" s="22">
        <v>260.8408</v>
      </c>
      <c r="I1533">
        <f t="shared" si="46"/>
        <v>0</v>
      </c>
      <c r="J1533" s="23">
        <v>43101</v>
      </c>
      <c r="K1533" s="22">
        <v>535.64279999999997</v>
      </c>
      <c r="L1533">
        <f t="shared" si="46"/>
        <v>0</v>
      </c>
      <c r="M1533" s="23">
        <v>43068</v>
      </c>
      <c r="N1533" s="22">
        <v>716.91099999999994</v>
      </c>
      <c r="O1533">
        <f t="shared" si="47"/>
        <v>-6.9940124139774573E-3</v>
      </c>
    </row>
    <row r="1534" spans="7:15" x14ac:dyDescent="0.25">
      <c r="G1534" s="23">
        <v>43102</v>
      </c>
      <c r="H1534" s="22">
        <v>260.80939999999998</v>
      </c>
      <c r="I1534">
        <f t="shared" si="46"/>
        <v>-1.2037994056146584E-4</v>
      </c>
      <c r="J1534" s="23">
        <v>43102</v>
      </c>
      <c r="K1534" s="22">
        <v>535.60799999999995</v>
      </c>
      <c r="L1534">
        <f t="shared" si="46"/>
        <v>-6.4968669419296354E-5</v>
      </c>
      <c r="M1534" s="23">
        <v>43069</v>
      </c>
      <c r="N1534" s="22">
        <v>723.19539999999995</v>
      </c>
      <c r="O1534">
        <f t="shared" si="47"/>
        <v>8.7659416580301297E-3</v>
      </c>
    </row>
    <row r="1535" spans="7:15" x14ac:dyDescent="0.25">
      <c r="G1535" s="23">
        <v>43103</v>
      </c>
      <c r="H1535" s="22">
        <v>261.03989999999999</v>
      </c>
      <c r="I1535">
        <f t="shared" si="46"/>
        <v>8.837871641129702E-4</v>
      </c>
      <c r="J1535" s="23">
        <v>43103</v>
      </c>
      <c r="K1535" s="22">
        <v>534.76599999999996</v>
      </c>
      <c r="L1535">
        <f t="shared" si="46"/>
        <v>-1.5720452271064111E-3</v>
      </c>
      <c r="M1535" s="23">
        <v>43070</v>
      </c>
      <c r="N1535" s="22">
        <v>722.89970000000005</v>
      </c>
      <c r="O1535">
        <f t="shared" si="47"/>
        <v>-4.0887981311810151E-4</v>
      </c>
    </row>
    <row r="1536" spans="7:15" x14ac:dyDescent="0.25">
      <c r="G1536" s="23">
        <v>43104</v>
      </c>
      <c r="H1536" s="22">
        <v>261.43450000000001</v>
      </c>
      <c r="I1536">
        <f t="shared" si="46"/>
        <v>1.5116463038793437E-3</v>
      </c>
      <c r="J1536" s="23">
        <v>43104</v>
      </c>
      <c r="K1536" s="22">
        <v>535.23739999999998</v>
      </c>
      <c r="L1536">
        <f t="shared" si="46"/>
        <v>8.8150705168255072E-4</v>
      </c>
      <c r="M1536" s="23">
        <v>43073</v>
      </c>
      <c r="N1536" s="22">
        <v>721.27639999999997</v>
      </c>
      <c r="O1536">
        <f t="shared" si="47"/>
        <v>-2.2455397339355976E-3</v>
      </c>
    </row>
    <row r="1537" spans="7:15" x14ac:dyDescent="0.25">
      <c r="G1537" s="23">
        <v>43105</v>
      </c>
      <c r="H1537" s="22">
        <v>261.4366</v>
      </c>
      <c r="I1537">
        <f t="shared" si="46"/>
        <v>8.0326047249279497E-6</v>
      </c>
      <c r="J1537" s="23">
        <v>43105</v>
      </c>
      <c r="K1537" s="22">
        <v>535.05340000000001</v>
      </c>
      <c r="L1537">
        <f t="shared" si="46"/>
        <v>-3.4377268853025278E-4</v>
      </c>
      <c r="M1537" s="23">
        <v>43074</v>
      </c>
      <c r="N1537" s="22">
        <v>721.32730000000004</v>
      </c>
      <c r="O1537">
        <f t="shared" si="47"/>
        <v>7.0569340685500137E-5</v>
      </c>
    </row>
    <row r="1538" spans="7:15" x14ac:dyDescent="0.25">
      <c r="G1538" s="23">
        <v>43108</v>
      </c>
      <c r="H1538" s="22">
        <v>261.30470000000003</v>
      </c>
      <c r="I1538">
        <f t="shared" si="46"/>
        <v>-5.0452002512257899E-4</v>
      </c>
      <c r="J1538" s="23">
        <v>43108</v>
      </c>
      <c r="K1538" s="22">
        <v>535.44280000000003</v>
      </c>
      <c r="L1538">
        <f t="shared" si="46"/>
        <v>7.2777782554034331E-4</v>
      </c>
      <c r="M1538" s="23">
        <v>43075</v>
      </c>
      <c r="N1538" s="22">
        <v>721.33659999999998</v>
      </c>
      <c r="O1538">
        <f t="shared" si="47"/>
        <v>1.2892898965555233E-5</v>
      </c>
    </row>
    <row r="1539" spans="7:15" x14ac:dyDescent="0.25">
      <c r="G1539" s="23">
        <v>43109</v>
      </c>
      <c r="H1539" s="22">
        <v>261.37639999999999</v>
      </c>
      <c r="I1539">
        <f t="shared" si="46"/>
        <v>2.7439230905512701E-4</v>
      </c>
      <c r="J1539" s="23">
        <v>43109</v>
      </c>
      <c r="K1539" s="22">
        <v>535.38099999999997</v>
      </c>
      <c r="L1539">
        <f t="shared" si="46"/>
        <v>-1.1541849101348589E-4</v>
      </c>
      <c r="M1539" s="23">
        <v>43076</v>
      </c>
      <c r="N1539" s="22">
        <v>721.31230000000005</v>
      </c>
      <c r="O1539">
        <f t="shared" si="47"/>
        <v>-3.3687462967946225E-5</v>
      </c>
    </row>
    <row r="1540" spans="7:15" x14ac:dyDescent="0.25">
      <c r="G1540" s="23">
        <v>43110</v>
      </c>
      <c r="H1540" s="22">
        <v>261.15280000000001</v>
      </c>
      <c r="I1540">
        <f t="shared" ref="I1540:L1603" si="48">H1540/H1539-1</f>
        <v>-8.5547126672480545E-4</v>
      </c>
      <c r="J1540" s="23">
        <v>43110</v>
      </c>
      <c r="K1540" s="22">
        <v>537.94200000000001</v>
      </c>
      <c r="L1540">
        <f t="shared" si="48"/>
        <v>4.7835093139279028E-3</v>
      </c>
      <c r="M1540" s="23">
        <v>43077</v>
      </c>
      <c r="N1540" s="22">
        <v>721.37180000000001</v>
      </c>
      <c r="O1540">
        <f t="shared" ref="O1540:O1603" si="49">N1540/N1539-1</f>
        <v>8.2488542064274029E-5</v>
      </c>
    </row>
    <row r="1541" spans="7:15" x14ac:dyDescent="0.25">
      <c r="G1541" s="23">
        <v>43111</v>
      </c>
      <c r="H1541" s="22">
        <v>261.15100000000001</v>
      </c>
      <c r="I1541">
        <f t="shared" si="48"/>
        <v>-6.8925165650490783E-6</v>
      </c>
      <c r="J1541" s="23">
        <v>43111</v>
      </c>
      <c r="K1541" s="22">
        <v>537.59159999999997</v>
      </c>
      <c r="L1541">
        <f t="shared" si="48"/>
        <v>-6.5137133743053965E-4</v>
      </c>
      <c r="M1541" s="23">
        <v>43080</v>
      </c>
      <c r="N1541" s="22">
        <v>721.43349999999998</v>
      </c>
      <c r="O1541">
        <f t="shared" si="49"/>
        <v>8.5531483210221637E-5</v>
      </c>
    </row>
    <row r="1542" spans="7:15" x14ac:dyDescent="0.25">
      <c r="G1542" s="23">
        <v>43112</v>
      </c>
      <c r="H1542" s="22">
        <v>261.20170000000002</v>
      </c>
      <c r="I1542">
        <f t="shared" si="48"/>
        <v>1.9414055469835212E-4</v>
      </c>
      <c r="J1542" s="23">
        <v>43112</v>
      </c>
      <c r="K1542" s="22">
        <v>537.62459999999999</v>
      </c>
      <c r="L1542">
        <f t="shared" si="48"/>
        <v>6.1384887710236313E-5</v>
      </c>
      <c r="M1542" s="23">
        <v>43081</v>
      </c>
      <c r="N1542" s="22">
        <v>721.15890000000002</v>
      </c>
      <c r="O1542">
        <f t="shared" si="49"/>
        <v>-3.8063106301544636E-4</v>
      </c>
    </row>
    <row r="1543" spans="7:15" x14ac:dyDescent="0.25">
      <c r="G1543" s="23">
        <v>43115</v>
      </c>
      <c r="H1543" s="22">
        <v>261.20170000000002</v>
      </c>
      <c r="I1543">
        <f t="shared" si="48"/>
        <v>0</v>
      </c>
      <c r="J1543" s="23">
        <v>43115</v>
      </c>
      <c r="K1543" s="22">
        <v>537.62459999999999</v>
      </c>
      <c r="L1543">
        <f t="shared" si="48"/>
        <v>0</v>
      </c>
      <c r="M1543" s="23">
        <v>43082</v>
      </c>
      <c r="N1543" s="22">
        <v>721.1</v>
      </c>
      <c r="O1543">
        <f t="shared" si="49"/>
        <v>-8.1674094294603705E-5</v>
      </c>
    </row>
    <row r="1544" spans="7:15" x14ac:dyDescent="0.25">
      <c r="G1544" s="23">
        <v>43116</v>
      </c>
      <c r="H1544" s="22">
        <v>261.47210000000001</v>
      </c>
      <c r="I1544">
        <f t="shared" si="48"/>
        <v>1.035215314448612E-3</v>
      </c>
      <c r="J1544" s="23">
        <v>43116</v>
      </c>
      <c r="K1544" s="22">
        <v>537.03049999999996</v>
      </c>
      <c r="L1544">
        <f t="shared" si="48"/>
        <v>-1.105046160462253E-3</v>
      </c>
      <c r="M1544" s="23">
        <v>43083</v>
      </c>
      <c r="N1544" s="22">
        <v>721.08280000000002</v>
      </c>
      <c r="O1544">
        <f t="shared" si="49"/>
        <v>-2.3852447649463926E-5</v>
      </c>
    </row>
    <row r="1545" spans="7:15" x14ac:dyDescent="0.25">
      <c r="G1545" s="23">
        <v>43117</v>
      </c>
      <c r="H1545" s="22">
        <v>261.488</v>
      </c>
      <c r="I1545">
        <f t="shared" si="48"/>
        <v>6.080954717524456E-5</v>
      </c>
      <c r="J1545" s="23">
        <v>43117</v>
      </c>
      <c r="K1545" s="22">
        <v>535.97609999999997</v>
      </c>
      <c r="L1545">
        <f t="shared" si="48"/>
        <v>-1.9633894164298171E-3</v>
      </c>
      <c r="M1545" s="23">
        <v>43084</v>
      </c>
      <c r="N1545" s="22">
        <v>721.05930000000001</v>
      </c>
      <c r="O1545">
        <f t="shared" si="49"/>
        <v>-3.258987733445462E-5</v>
      </c>
    </row>
    <row r="1546" spans="7:15" x14ac:dyDescent="0.25">
      <c r="G1546" s="23">
        <v>43118</v>
      </c>
      <c r="H1546" s="22">
        <v>261.428</v>
      </c>
      <c r="I1546">
        <f t="shared" si="48"/>
        <v>-2.2945603622348543E-4</v>
      </c>
      <c r="J1546" s="23">
        <v>43118</v>
      </c>
      <c r="K1546" s="22">
        <v>536.24030000000005</v>
      </c>
      <c r="L1546">
        <f t="shared" si="48"/>
        <v>4.9293242739745224E-4</v>
      </c>
      <c r="M1546" s="23">
        <v>43087</v>
      </c>
      <c r="N1546" s="22">
        <v>721.1078</v>
      </c>
      <c r="O1546">
        <f t="shared" si="49"/>
        <v>6.726215167041083E-5</v>
      </c>
    </row>
    <row r="1547" spans="7:15" x14ac:dyDescent="0.25">
      <c r="G1547" s="23">
        <v>43119</v>
      </c>
      <c r="H1547" s="22">
        <v>261.33819999999997</v>
      </c>
      <c r="I1547">
        <f t="shared" si="48"/>
        <v>-3.4349801857502804E-4</v>
      </c>
      <c r="J1547" s="23">
        <v>43119</v>
      </c>
      <c r="K1547" s="22">
        <v>536.22289999999998</v>
      </c>
      <c r="L1547">
        <f t="shared" si="48"/>
        <v>-3.2448139388407959E-5</v>
      </c>
      <c r="M1547" s="23">
        <v>43088</v>
      </c>
      <c r="N1547" s="22">
        <v>720.97180000000003</v>
      </c>
      <c r="O1547">
        <f t="shared" si="49"/>
        <v>-1.8859870881993146E-4</v>
      </c>
    </row>
    <row r="1548" spans="7:15" x14ac:dyDescent="0.25">
      <c r="G1548" s="23">
        <v>43122</v>
      </c>
      <c r="H1548" s="22">
        <v>261.24689999999998</v>
      </c>
      <c r="I1548">
        <f t="shared" si="48"/>
        <v>-3.4935573903849271E-4</v>
      </c>
      <c r="J1548" s="23">
        <v>43122</v>
      </c>
      <c r="K1548" s="22">
        <v>535.69600000000003</v>
      </c>
      <c r="L1548">
        <f t="shared" si="48"/>
        <v>-9.8261376006125722E-4</v>
      </c>
      <c r="M1548" s="23">
        <v>43089</v>
      </c>
      <c r="N1548" s="22">
        <v>720.23360000000002</v>
      </c>
      <c r="O1548">
        <f t="shared" si="49"/>
        <v>-1.0238958028594425E-3</v>
      </c>
    </row>
    <row r="1549" spans="7:15" x14ac:dyDescent="0.25">
      <c r="G1549" s="23">
        <v>43123</v>
      </c>
      <c r="H1549" s="22">
        <v>261.23379999999997</v>
      </c>
      <c r="I1549">
        <f t="shared" si="48"/>
        <v>-5.0144135681606805E-5</v>
      </c>
      <c r="J1549" s="23">
        <v>43123</v>
      </c>
      <c r="K1549" s="22">
        <v>535.52980000000002</v>
      </c>
      <c r="L1549">
        <f t="shared" si="48"/>
        <v>-3.1025058988676246E-4</v>
      </c>
      <c r="M1549" s="23">
        <v>43090</v>
      </c>
      <c r="N1549" s="22">
        <v>719.47619999999995</v>
      </c>
      <c r="O1549">
        <f t="shared" si="49"/>
        <v>-1.0516032576098899E-3</v>
      </c>
    </row>
    <row r="1550" spans="7:15" x14ac:dyDescent="0.25">
      <c r="G1550" s="23">
        <v>43124</v>
      </c>
      <c r="H1550" s="22">
        <v>260.81389999999999</v>
      </c>
      <c r="I1550">
        <f t="shared" si="48"/>
        <v>-1.6073723997429568E-3</v>
      </c>
      <c r="J1550" s="23">
        <v>43124</v>
      </c>
      <c r="K1550" s="22">
        <v>533.73779999999999</v>
      </c>
      <c r="L1550">
        <f t="shared" si="48"/>
        <v>-3.3462190152631077E-3</v>
      </c>
      <c r="M1550" s="23">
        <v>43091</v>
      </c>
      <c r="N1550" s="22">
        <v>704.17250000000001</v>
      </c>
      <c r="O1550">
        <f t="shared" si="49"/>
        <v>-2.1270613260035431E-2</v>
      </c>
    </row>
    <row r="1551" spans="7:15" x14ac:dyDescent="0.25">
      <c r="G1551" s="23">
        <v>43125</v>
      </c>
      <c r="H1551" s="22">
        <v>260.7783</v>
      </c>
      <c r="I1551">
        <f t="shared" si="48"/>
        <v>-1.3649579259378264E-4</v>
      </c>
      <c r="J1551" s="23">
        <v>43125</v>
      </c>
      <c r="K1551" s="22">
        <v>532.46479999999997</v>
      </c>
      <c r="L1551">
        <f t="shared" si="48"/>
        <v>-2.3850662254013555E-3</v>
      </c>
      <c r="M1551" s="23">
        <v>43094</v>
      </c>
      <c r="N1551" s="22">
        <v>704.17250000000001</v>
      </c>
      <c r="O1551">
        <f t="shared" si="49"/>
        <v>0</v>
      </c>
    </row>
    <row r="1552" spans="7:15" x14ac:dyDescent="0.25">
      <c r="G1552" s="23">
        <v>43126</v>
      </c>
      <c r="H1552" s="22">
        <v>260.31790000000001</v>
      </c>
      <c r="I1552">
        <f t="shared" si="48"/>
        <v>-1.7654843213564808E-3</v>
      </c>
      <c r="J1552" s="23">
        <v>43126</v>
      </c>
      <c r="K1552" s="22">
        <v>512.58240000000001</v>
      </c>
      <c r="L1552">
        <f t="shared" si="48"/>
        <v>-3.7340308692705992E-2</v>
      </c>
      <c r="M1552" s="23">
        <v>43095</v>
      </c>
      <c r="N1552" s="22">
        <v>703.54340000000002</v>
      </c>
      <c r="O1552">
        <f t="shared" si="49"/>
        <v>-8.9338904884805892E-4</v>
      </c>
    </row>
    <row r="1553" spans="7:15" x14ac:dyDescent="0.25">
      <c r="G1553" s="23">
        <v>43129</v>
      </c>
      <c r="H1553" s="22">
        <v>260.2441</v>
      </c>
      <c r="I1553">
        <f t="shared" si="48"/>
        <v>-2.8349952116246691E-4</v>
      </c>
      <c r="J1553" s="23">
        <v>43129</v>
      </c>
      <c r="K1553" s="22">
        <v>512.54960000000005</v>
      </c>
      <c r="L1553">
        <f t="shared" si="48"/>
        <v>-6.3989711702849839E-5</v>
      </c>
      <c r="M1553" s="23">
        <v>43096</v>
      </c>
      <c r="N1553" s="22">
        <v>703.70060000000001</v>
      </c>
      <c r="O1553">
        <f t="shared" si="49"/>
        <v>2.2344037340116252E-4</v>
      </c>
    </row>
    <row r="1554" spans="7:15" x14ac:dyDescent="0.25">
      <c r="G1554" s="23">
        <v>43130</v>
      </c>
      <c r="H1554" s="22">
        <v>259.99849999999998</v>
      </c>
      <c r="I1554">
        <f t="shared" si="48"/>
        <v>-9.4372936792808115E-4</v>
      </c>
      <c r="J1554" s="23">
        <v>43130</v>
      </c>
      <c r="K1554" s="22">
        <v>512.22469999999998</v>
      </c>
      <c r="L1554">
        <f t="shared" si="48"/>
        <v>-6.3388987134138652E-4</v>
      </c>
      <c r="M1554" s="23">
        <v>43097</v>
      </c>
      <c r="N1554" s="22">
        <v>703.67259999999999</v>
      </c>
      <c r="O1554">
        <f t="shared" si="49"/>
        <v>-3.9789649177501829E-5</v>
      </c>
    </row>
    <row r="1555" spans="7:15" x14ac:dyDescent="0.25">
      <c r="G1555" s="23">
        <v>43131</v>
      </c>
      <c r="H1555" s="22">
        <v>259.99110000000002</v>
      </c>
      <c r="I1555">
        <f t="shared" si="48"/>
        <v>-2.8461702663573618E-5</v>
      </c>
      <c r="J1555" s="23">
        <v>43131</v>
      </c>
      <c r="K1555" s="22">
        <v>513.88019999999995</v>
      </c>
      <c r="L1555">
        <f t="shared" si="48"/>
        <v>3.2319800275151245E-3</v>
      </c>
      <c r="M1555" s="23">
        <v>43098</v>
      </c>
      <c r="N1555" s="22">
        <v>704.71799999999996</v>
      </c>
      <c r="O1555">
        <f t="shared" si="49"/>
        <v>1.4856340860791573E-3</v>
      </c>
    </row>
    <row r="1556" spans="7:15" x14ac:dyDescent="0.25">
      <c r="G1556" s="23">
        <v>43132</v>
      </c>
      <c r="H1556" s="22">
        <v>259.63630000000001</v>
      </c>
      <c r="I1556">
        <f t="shared" si="48"/>
        <v>-1.3646620980487523E-3</v>
      </c>
      <c r="J1556" s="23">
        <v>43132</v>
      </c>
      <c r="K1556" s="22">
        <v>513.66909999999996</v>
      </c>
      <c r="L1556">
        <f t="shared" si="48"/>
        <v>-4.1079613497463363E-4</v>
      </c>
      <c r="M1556" s="23">
        <v>43101</v>
      </c>
      <c r="N1556" s="22">
        <v>704.71799999999996</v>
      </c>
      <c r="O1556">
        <f t="shared" si="49"/>
        <v>0</v>
      </c>
    </row>
    <row r="1557" spans="7:15" x14ac:dyDescent="0.25">
      <c r="G1557" s="23">
        <v>43133</v>
      </c>
      <c r="H1557" s="22">
        <v>259.32900000000001</v>
      </c>
      <c r="I1557">
        <f t="shared" si="48"/>
        <v>-1.1835787214653504E-3</v>
      </c>
      <c r="J1557" s="23">
        <v>43133</v>
      </c>
      <c r="K1557" s="22">
        <v>513.35469999999998</v>
      </c>
      <c r="L1557">
        <f t="shared" si="48"/>
        <v>-6.1206718488615586E-4</v>
      </c>
      <c r="M1557" s="23">
        <v>43102</v>
      </c>
      <c r="N1557" s="22">
        <v>704.97969999999998</v>
      </c>
      <c r="O1557">
        <f t="shared" si="49"/>
        <v>3.7135421544509661E-4</v>
      </c>
    </row>
    <row r="1558" spans="7:15" x14ac:dyDescent="0.25">
      <c r="G1558" s="23">
        <v>43136</v>
      </c>
      <c r="H1558" s="22">
        <v>259.16609999999997</v>
      </c>
      <c r="I1558">
        <f t="shared" si="48"/>
        <v>-6.2815959649720199E-4</v>
      </c>
      <c r="J1558" s="23">
        <v>43136</v>
      </c>
      <c r="K1558" s="22">
        <v>513.00120000000004</v>
      </c>
      <c r="L1558">
        <f t="shared" si="48"/>
        <v>-6.8860770145851014E-4</v>
      </c>
      <c r="M1558" s="23">
        <v>43103</v>
      </c>
      <c r="N1558" s="22">
        <v>705.4307</v>
      </c>
      <c r="O1558">
        <f t="shared" si="49"/>
        <v>6.3973473278733373E-4</v>
      </c>
    </row>
    <row r="1559" spans="7:15" x14ac:dyDescent="0.25">
      <c r="G1559" s="23">
        <v>43137</v>
      </c>
      <c r="H1559" s="22">
        <v>258.68079999999998</v>
      </c>
      <c r="I1559">
        <f t="shared" si="48"/>
        <v>-1.8725442872350451E-3</v>
      </c>
      <c r="J1559" s="23">
        <v>43137</v>
      </c>
      <c r="K1559" s="22">
        <v>510.37130000000002</v>
      </c>
      <c r="L1559">
        <f t="shared" si="48"/>
        <v>-5.1264987294377118E-3</v>
      </c>
      <c r="M1559" s="23">
        <v>43104</v>
      </c>
      <c r="N1559" s="22">
        <v>707.67949999999996</v>
      </c>
      <c r="O1559">
        <f t="shared" si="49"/>
        <v>3.1878397126747782E-3</v>
      </c>
    </row>
    <row r="1560" spans="7:15" x14ac:dyDescent="0.25">
      <c r="G1560" s="23">
        <v>43138</v>
      </c>
      <c r="H1560" s="22">
        <v>258.66609999999997</v>
      </c>
      <c r="I1560">
        <f t="shared" si="48"/>
        <v>-5.6826791938191512E-5</v>
      </c>
      <c r="J1560" s="23">
        <v>43138</v>
      </c>
      <c r="K1560" s="22">
        <v>510.18759999999997</v>
      </c>
      <c r="L1560">
        <f t="shared" si="48"/>
        <v>-3.599340323408029E-4</v>
      </c>
      <c r="M1560" s="23">
        <v>43105</v>
      </c>
      <c r="N1560" s="22">
        <v>707.37929999999994</v>
      </c>
      <c r="O1560">
        <f t="shared" si="49"/>
        <v>-4.2420332933201799E-4</v>
      </c>
    </row>
    <row r="1561" spans="7:15" x14ac:dyDescent="0.25">
      <c r="G1561" s="23">
        <v>43139</v>
      </c>
      <c r="H1561" s="22">
        <v>258.59690000000001</v>
      </c>
      <c r="I1561">
        <f t="shared" si="48"/>
        <v>-2.6752635927151935E-4</v>
      </c>
      <c r="J1561" s="23">
        <v>43139</v>
      </c>
      <c r="K1561" s="22">
        <v>510.3571</v>
      </c>
      <c r="L1561">
        <f t="shared" si="48"/>
        <v>3.3223073238164424E-4</v>
      </c>
      <c r="M1561" s="23">
        <v>43108</v>
      </c>
      <c r="N1561" s="22">
        <v>707.39110000000005</v>
      </c>
      <c r="O1561">
        <f t="shared" si="49"/>
        <v>1.6681291069797766E-5</v>
      </c>
    </row>
    <row r="1562" spans="7:15" x14ac:dyDescent="0.25">
      <c r="G1562" s="23">
        <v>43140</v>
      </c>
      <c r="H1562" s="22">
        <v>258.43209999999999</v>
      </c>
      <c r="I1562">
        <f t="shared" si="48"/>
        <v>-6.3728528841611176E-4</v>
      </c>
      <c r="J1562" s="23">
        <v>43140</v>
      </c>
      <c r="K1562" s="22">
        <v>510.29340000000002</v>
      </c>
      <c r="L1562">
        <f t="shared" si="48"/>
        <v>-1.2481456611457276E-4</v>
      </c>
      <c r="M1562" s="23">
        <v>43109</v>
      </c>
      <c r="N1562" s="22">
        <v>708.00840000000005</v>
      </c>
      <c r="O1562">
        <f t="shared" si="49"/>
        <v>8.7264315312984841E-4</v>
      </c>
    </row>
    <row r="1563" spans="7:15" x14ac:dyDescent="0.25">
      <c r="G1563" s="23">
        <v>43143</v>
      </c>
      <c r="H1563" s="22">
        <v>258.47430000000003</v>
      </c>
      <c r="I1563">
        <f t="shared" si="48"/>
        <v>1.6329240833479197E-4</v>
      </c>
      <c r="J1563" s="23">
        <v>43143</v>
      </c>
      <c r="K1563" s="22">
        <v>510.94970000000001</v>
      </c>
      <c r="L1563">
        <f t="shared" si="48"/>
        <v>1.2861228461900076E-3</v>
      </c>
      <c r="M1563" s="23">
        <v>43110</v>
      </c>
      <c r="N1563" s="22">
        <v>708.29219999999998</v>
      </c>
      <c r="O1563">
        <f t="shared" si="49"/>
        <v>4.0084270186624416E-4</v>
      </c>
    </row>
    <row r="1564" spans="7:15" x14ac:dyDescent="0.25">
      <c r="G1564" s="23">
        <v>43144</v>
      </c>
      <c r="H1564" s="22">
        <v>258.22500000000002</v>
      </c>
      <c r="I1564">
        <f t="shared" si="48"/>
        <v>-9.6450594894736952E-4</v>
      </c>
      <c r="J1564" s="23">
        <v>43144</v>
      </c>
      <c r="K1564" s="22">
        <v>510.9479</v>
      </c>
      <c r="L1564">
        <f t="shared" si="48"/>
        <v>-3.5228516622742845E-6</v>
      </c>
      <c r="M1564" s="23">
        <v>43111</v>
      </c>
      <c r="N1564" s="22">
        <v>708.26409999999998</v>
      </c>
      <c r="O1564">
        <f t="shared" si="49"/>
        <v>-3.9672892063413734E-5</v>
      </c>
    </row>
    <row r="1565" spans="7:15" x14ac:dyDescent="0.25">
      <c r="G1565" s="23">
        <v>43145</v>
      </c>
      <c r="H1565" s="22">
        <v>258.11200000000002</v>
      </c>
      <c r="I1565">
        <f t="shared" si="48"/>
        <v>-4.3760286571792317E-4</v>
      </c>
      <c r="J1565" s="23">
        <v>43145</v>
      </c>
      <c r="K1565" s="22">
        <v>511.01350000000002</v>
      </c>
      <c r="L1565">
        <f t="shared" si="48"/>
        <v>1.2838882398780171E-4</v>
      </c>
      <c r="M1565" s="23">
        <v>43112</v>
      </c>
      <c r="N1565" s="22">
        <v>708.45190000000002</v>
      </c>
      <c r="O1565">
        <f t="shared" si="49"/>
        <v>2.6515532835857947E-4</v>
      </c>
    </row>
    <row r="1566" spans="7:15" x14ac:dyDescent="0.25">
      <c r="G1566" s="23">
        <v>43146</v>
      </c>
      <c r="H1566" s="22">
        <v>258.14359999999999</v>
      </c>
      <c r="I1566">
        <f t="shared" si="48"/>
        <v>1.224274733446773E-4</v>
      </c>
      <c r="J1566" s="23">
        <v>43146</v>
      </c>
      <c r="K1566" s="22">
        <v>510.77809999999999</v>
      </c>
      <c r="L1566">
        <f t="shared" si="48"/>
        <v>-4.6065319213683953E-4</v>
      </c>
      <c r="M1566" s="23">
        <v>43115</v>
      </c>
      <c r="N1566" s="22">
        <v>708.45190000000002</v>
      </c>
      <c r="O1566">
        <f t="shared" si="49"/>
        <v>0</v>
      </c>
    </row>
    <row r="1567" spans="7:15" x14ac:dyDescent="0.25">
      <c r="G1567" s="23">
        <v>43147</v>
      </c>
      <c r="H1567" s="22">
        <v>258.20609999999999</v>
      </c>
      <c r="I1567">
        <f t="shared" si="48"/>
        <v>2.4211330437795553E-4</v>
      </c>
      <c r="J1567" s="23">
        <v>43147</v>
      </c>
      <c r="K1567" s="22">
        <v>511.18279999999999</v>
      </c>
      <c r="L1567">
        <f t="shared" si="48"/>
        <v>7.9232057913203313E-4</v>
      </c>
      <c r="M1567" s="23">
        <v>43116</v>
      </c>
      <c r="N1567" s="22">
        <v>708.07209999999998</v>
      </c>
      <c r="O1567">
        <f t="shared" si="49"/>
        <v>-5.3609849871250059E-4</v>
      </c>
    </row>
    <row r="1568" spans="7:15" x14ac:dyDescent="0.25">
      <c r="G1568" s="23">
        <v>43150</v>
      </c>
      <c r="H1568" s="22">
        <v>258.20609999999999</v>
      </c>
      <c r="I1568">
        <f t="shared" si="48"/>
        <v>0</v>
      </c>
      <c r="J1568" s="23">
        <v>43150</v>
      </c>
      <c r="K1568" s="22">
        <v>511.18279999999999</v>
      </c>
      <c r="L1568">
        <f t="shared" si="48"/>
        <v>0</v>
      </c>
      <c r="M1568" s="23">
        <v>43117</v>
      </c>
      <c r="N1568" s="22">
        <v>708.6105</v>
      </c>
      <c r="O1568">
        <f t="shared" si="49"/>
        <v>7.6037454377875235E-4</v>
      </c>
    </row>
    <row r="1569" spans="7:15" x14ac:dyDescent="0.25">
      <c r="G1569" s="23">
        <v>43151</v>
      </c>
      <c r="H1569" s="22">
        <v>258.28269999999998</v>
      </c>
      <c r="I1569">
        <f t="shared" si="48"/>
        <v>2.9666223997026897E-4</v>
      </c>
      <c r="J1569" s="23">
        <v>43151</v>
      </c>
      <c r="K1569" s="22">
        <v>511.71870000000001</v>
      </c>
      <c r="L1569">
        <f t="shared" si="48"/>
        <v>1.048352957102594E-3</v>
      </c>
      <c r="M1569" s="23">
        <v>43118</v>
      </c>
      <c r="N1569" s="22">
        <v>708.52940000000001</v>
      </c>
      <c r="O1569">
        <f t="shared" si="49"/>
        <v>-1.1444933429571869E-4</v>
      </c>
    </row>
    <row r="1570" spans="7:15" x14ac:dyDescent="0.25">
      <c r="G1570" s="23">
        <v>43152</v>
      </c>
      <c r="H1570" s="22">
        <v>258.44709999999998</v>
      </c>
      <c r="I1570">
        <f t="shared" si="48"/>
        <v>6.3651185309732128E-4</v>
      </c>
      <c r="J1570" s="23">
        <v>43152</v>
      </c>
      <c r="K1570" s="22">
        <v>511.83499999999998</v>
      </c>
      <c r="L1570">
        <f t="shared" si="48"/>
        <v>2.2727330464955564E-4</v>
      </c>
      <c r="M1570" s="23">
        <v>43119</v>
      </c>
      <c r="N1570" s="22">
        <v>708.00940000000003</v>
      </c>
      <c r="O1570">
        <f t="shared" si="49"/>
        <v>-7.3391449952531218E-4</v>
      </c>
    </row>
    <row r="1571" spans="7:15" x14ac:dyDescent="0.25">
      <c r="G1571" s="23">
        <v>43153</v>
      </c>
      <c r="H1571" s="22">
        <v>258.43119999999999</v>
      </c>
      <c r="I1571">
        <f t="shared" si="48"/>
        <v>-6.1521293912680797E-5</v>
      </c>
      <c r="J1571" s="23">
        <v>43153</v>
      </c>
      <c r="K1571" s="22">
        <v>511.9058</v>
      </c>
      <c r="L1571">
        <f t="shared" si="48"/>
        <v>1.3832582765926915E-4</v>
      </c>
      <c r="M1571" s="23">
        <v>43122</v>
      </c>
      <c r="N1571" s="22">
        <v>708.54430000000002</v>
      </c>
      <c r="O1571">
        <f t="shared" si="49"/>
        <v>7.5549844394728893E-4</v>
      </c>
    </row>
    <row r="1572" spans="7:15" x14ac:dyDescent="0.25">
      <c r="G1572" s="23">
        <v>43154</v>
      </c>
      <c r="H1572" s="22">
        <v>258.44450000000001</v>
      </c>
      <c r="I1572">
        <f t="shared" si="48"/>
        <v>5.1464374270615565E-5</v>
      </c>
      <c r="J1572" s="23">
        <v>43154</v>
      </c>
      <c r="K1572" s="22">
        <v>512.26009999999997</v>
      </c>
      <c r="L1572">
        <f t="shared" si="48"/>
        <v>6.9211952667846965E-4</v>
      </c>
      <c r="M1572" s="23">
        <v>43123</v>
      </c>
      <c r="N1572" s="22">
        <v>707.63580000000002</v>
      </c>
      <c r="O1572">
        <f t="shared" si="49"/>
        <v>-1.2822063489890123E-3</v>
      </c>
    </row>
    <row r="1573" spans="7:15" x14ac:dyDescent="0.25">
      <c r="G1573" s="23">
        <v>43157</v>
      </c>
      <c r="H1573" s="22">
        <v>258.28579999999999</v>
      </c>
      <c r="I1573">
        <f t="shared" si="48"/>
        <v>-6.1405833747674166E-4</v>
      </c>
      <c r="J1573" s="23">
        <v>43157</v>
      </c>
      <c r="K1573" s="22">
        <v>512.57380000000001</v>
      </c>
      <c r="L1573">
        <f t="shared" si="48"/>
        <v>6.1238421653375674E-4</v>
      </c>
      <c r="M1573" s="23">
        <v>43124</v>
      </c>
      <c r="N1573" s="22">
        <v>706.4556</v>
      </c>
      <c r="O1573">
        <f t="shared" si="49"/>
        <v>-1.6678070838134218E-3</v>
      </c>
    </row>
    <row r="1574" spans="7:15" x14ac:dyDescent="0.25">
      <c r="G1574" s="23">
        <v>43158</v>
      </c>
      <c r="H1574" s="22">
        <v>258.34089999999998</v>
      </c>
      <c r="I1574">
        <f t="shared" si="48"/>
        <v>2.133295752224651E-4</v>
      </c>
      <c r="J1574" s="23">
        <v>43158</v>
      </c>
      <c r="K1574" s="22">
        <v>513.06150000000002</v>
      </c>
      <c r="L1574">
        <f t="shared" si="48"/>
        <v>9.5147274402251902E-4</v>
      </c>
      <c r="M1574" s="23">
        <v>43125</v>
      </c>
      <c r="N1574" s="22">
        <v>680.67290000000003</v>
      </c>
      <c r="O1574">
        <f t="shared" si="49"/>
        <v>-3.6495853384133414E-2</v>
      </c>
    </row>
    <row r="1575" spans="7:15" x14ac:dyDescent="0.25">
      <c r="G1575" s="23">
        <v>43159</v>
      </c>
      <c r="H1575" s="22">
        <v>257.98840000000001</v>
      </c>
      <c r="I1575">
        <f t="shared" si="48"/>
        <v>-1.3644761630851043E-3</v>
      </c>
      <c r="J1575" s="23">
        <v>43159</v>
      </c>
      <c r="K1575" s="22">
        <v>517.51030000000003</v>
      </c>
      <c r="L1575">
        <f t="shared" si="48"/>
        <v>8.6710852402684946E-3</v>
      </c>
      <c r="M1575" s="23">
        <v>43126</v>
      </c>
      <c r="N1575" s="22">
        <v>679.39329999999995</v>
      </c>
      <c r="O1575">
        <f t="shared" si="49"/>
        <v>-1.8799044298665191E-3</v>
      </c>
    </row>
    <row r="1576" spans="7:15" x14ac:dyDescent="0.25">
      <c r="G1576" s="23">
        <v>43160</v>
      </c>
      <c r="H1576" s="22">
        <v>257.94400000000002</v>
      </c>
      <c r="I1576">
        <f t="shared" si="48"/>
        <v>-1.7210076111950912E-4</v>
      </c>
      <c r="J1576" s="23">
        <v>43160</v>
      </c>
      <c r="K1576" s="22">
        <v>517.4203</v>
      </c>
      <c r="L1576">
        <f t="shared" si="48"/>
        <v>-1.7390958208951535E-4</v>
      </c>
      <c r="M1576" s="23">
        <v>43129</v>
      </c>
      <c r="N1576" s="22">
        <v>677.78859999999997</v>
      </c>
      <c r="O1576">
        <f t="shared" si="49"/>
        <v>-2.3619602960464059E-3</v>
      </c>
    </row>
    <row r="1577" spans="7:15" x14ac:dyDescent="0.25">
      <c r="G1577" s="23">
        <v>43161</v>
      </c>
      <c r="H1577" s="22">
        <v>258.2174</v>
      </c>
      <c r="I1577">
        <f t="shared" si="48"/>
        <v>1.059919982631774E-3</v>
      </c>
      <c r="J1577" s="23">
        <v>43161</v>
      </c>
      <c r="K1577" s="22">
        <v>515.92229999999995</v>
      </c>
      <c r="L1577">
        <f t="shared" si="48"/>
        <v>-2.8951318686183392E-3</v>
      </c>
      <c r="M1577" s="23">
        <v>43130</v>
      </c>
      <c r="N1577" s="22">
        <v>678.6431</v>
      </c>
      <c r="O1577">
        <f t="shared" si="49"/>
        <v>1.2607175747718635E-3</v>
      </c>
    </row>
    <row r="1578" spans="7:15" x14ac:dyDescent="0.25">
      <c r="G1578" s="23">
        <v>43164</v>
      </c>
      <c r="H1578" s="22">
        <v>258.57010000000002</v>
      </c>
      <c r="I1578">
        <f t="shared" si="48"/>
        <v>1.3659033047348501E-3</v>
      </c>
      <c r="J1578" s="23">
        <v>43164</v>
      </c>
      <c r="K1578" s="22">
        <v>516.83780000000002</v>
      </c>
      <c r="L1578">
        <f t="shared" si="48"/>
        <v>1.7744920116848917E-3</v>
      </c>
      <c r="M1578" s="23">
        <v>43131</v>
      </c>
      <c r="N1578" s="22">
        <v>681.01229999999998</v>
      </c>
      <c r="O1578">
        <f t="shared" si="49"/>
        <v>3.4910838996227156E-3</v>
      </c>
    </row>
    <row r="1579" spans="7:15" x14ac:dyDescent="0.25">
      <c r="G1579" s="23">
        <v>43165</v>
      </c>
      <c r="H1579" s="22">
        <v>258.51369999999997</v>
      </c>
      <c r="I1579">
        <f t="shared" si="48"/>
        <v>-2.1812266770226962E-4</v>
      </c>
      <c r="J1579" s="23">
        <v>43165</v>
      </c>
      <c r="K1579" s="22">
        <v>516.95780000000002</v>
      </c>
      <c r="L1579">
        <f t="shared" si="48"/>
        <v>2.3218116012402312E-4</v>
      </c>
      <c r="M1579" s="23">
        <v>43132</v>
      </c>
      <c r="N1579" s="22">
        <v>680.67179999999996</v>
      </c>
      <c r="O1579">
        <f t="shared" si="49"/>
        <v>-4.9999096932618059E-4</v>
      </c>
    </row>
    <row r="1580" spans="7:15" x14ac:dyDescent="0.25">
      <c r="G1580" s="23">
        <v>43166</v>
      </c>
      <c r="H1580" s="22">
        <v>258.5575</v>
      </c>
      <c r="I1580">
        <f t="shared" si="48"/>
        <v>1.694300920997982E-4</v>
      </c>
      <c r="J1580" s="23">
        <v>43166</v>
      </c>
      <c r="K1580" s="22">
        <v>517.48770000000002</v>
      </c>
      <c r="L1580">
        <f t="shared" si="48"/>
        <v>1.0250353123602007E-3</v>
      </c>
      <c r="M1580" s="23">
        <v>43133</v>
      </c>
      <c r="N1580" s="22">
        <v>680.21659999999997</v>
      </c>
      <c r="O1580">
        <f t="shared" si="49"/>
        <v>-6.6875107797914612E-4</v>
      </c>
    </row>
    <row r="1581" spans="7:15" x14ac:dyDescent="0.25">
      <c r="G1581" s="23">
        <v>43167</v>
      </c>
      <c r="H1581" s="22">
        <v>258.55880000000002</v>
      </c>
      <c r="I1581">
        <f t="shared" si="48"/>
        <v>5.0278951491122825E-6</v>
      </c>
      <c r="J1581" s="23">
        <v>43167</v>
      </c>
      <c r="K1581" s="22">
        <v>517.85299999999995</v>
      </c>
      <c r="L1581">
        <f t="shared" si="48"/>
        <v>7.0591049796919769E-4</v>
      </c>
      <c r="M1581" s="23">
        <v>43136</v>
      </c>
      <c r="N1581" s="22">
        <v>680.28210000000001</v>
      </c>
      <c r="O1581">
        <f t="shared" si="49"/>
        <v>9.6292857304725032E-5</v>
      </c>
    </row>
    <row r="1582" spans="7:15" x14ac:dyDescent="0.25">
      <c r="G1582" s="23">
        <v>43168</v>
      </c>
      <c r="H1582" s="22">
        <v>258.6035</v>
      </c>
      <c r="I1582">
        <f t="shared" si="48"/>
        <v>1.728813716646016E-4</v>
      </c>
      <c r="J1582" s="23">
        <v>43168</v>
      </c>
      <c r="K1582" s="22">
        <v>518.5915</v>
      </c>
      <c r="L1582">
        <f t="shared" si="48"/>
        <v>1.4260803741603656E-3</v>
      </c>
      <c r="M1582" s="23">
        <v>43137</v>
      </c>
      <c r="N1582" s="22">
        <v>680.29560000000004</v>
      </c>
      <c r="O1582">
        <f t="shared" si="49"/>
        <v>1.9844708540883715E-5</v>
      </c>
    </row>
    <row r="1583" spans="7:15" x14ac:dyDescent="0.25">
      <c r="G1583" s="23">
        <v>43171</v>
      </c>
      <c r="H1583" s="22">
        <v>258.59440000000001</v>
      </c>
      <c r="I1583">
        <f t="shared" si="48"/>
        <v>-3.5189005562541453E-5</v>
      </c>
      <c r="J1583" s="23">
        <v>43171</v>
      </c>
      <c r="K1583" s="22">
        <v>518.19770000000005</v>
      </c>
      <c r="L1583">
        <f t="shared" si="48"/>
        <v>-7.5936454801117659E-4</v>
      </c>
      <c r="M1583" s="23">
        <v>43138</v>
      </c>
      <c r="N1583" s="22">
        <v>680.18240000000003</v>
      </c>
      <c r="O1583">
        <f t="shared" si="49"/>
        <v>-1.6639825393549579E-4</v>
      </c>
    </row>
    <row r="1584" spans="7:15" x14ac:dyDescent="0.25">
      <c r="G1584" s="23">
        <v>43172</v>
      </c>
      <c r="H1584" s="22">
        <v>258.66250000000002</v>
      </c>
      <c r="I1584">
        <f t="shared" si="48"/>
        <v>2.633467700769998E-4</v>
      </c>
      <c r="J1584" s="23">
        <v>43172</v>
      </c>
      <c r="K1584" s="22">
        <v>521.94650000000001</v>
      </c>
      <c r="L1584">
        <f t="shared" si="48"/>
        <v>7.234304590699514E-3</v>
      </c>
      <c r="M1584" s="23">
        <v>43139</v>
      </c>
      <c r="N1584" s="22">
        <v>681.35540000000003</v>
      </c>
      <c r="O1584">
        <f t="shared" si="49"/>
        <v>1.7245374181984463E-3</v>
      </c>
    </row>
    <row r="1585" spans="7:15" x14ac:dyDescent="0.25">
      <c r="G1585" s="23">
        <v>43173</v>
      </c>
      <c r="H1585" s="22">
        <v>258.6044</v>
      </c>
      <c r="I1585">
        <f t="shared" si="48"/>
        <v>-2.2461702024845209E-4</v>
      </c>
      <c r="J1585" s="23">
        <v>43173</v>
      </c>
      <c r="K1585" s="22">
        <v>522.38379999999995</v>
      </c>
      <c r="L1585">
        <f t="shared" si="48"/>
        <v>8.3782533267284798E-4</v>
      </c>
      <c r="M1585" s="23">
        <v>43140</v>
      </c>
      <c r="N1585" s="22">
        <v>696.64940000000001</v>
      </c>
      <c r="O1585">
        <f t="shared" si="49"/>
        <v>2.2446435443235657E-2</v>
      </c>
    </row>
    <row r="1586" spans="7:15" x14ac:dyDescent="0.25">
      <c r="G1586" s="23">
        <v>43174</v>
      </c>
      <c r="H1586" s="22">
        <v>258.62529999999998</v>
      </c>
      <c r="I1586">
        <f t="shared" si="48"/>
        <v>8.0818423816353402E-5</v>
      </c>
      <c r="J1586" s="23">
        <v>43174</v>
      </c>
      <c r="K1586" s="22">
        <v>522.5865</v>
      </c>
      <c r="L1586">
        <f t="shared" si="48"/>
        <v>3.8802887838418343E-4</v>
      </c>
      <c r="M1586" s="23">
        <v>43143</v>
      </c>
      <c r="N1586" s="22">
        <v>697.59360000000004</v>
      </c>
      <c r="O1586">
        <f t="shared" si="49"/>
        <v>1.3553445965790445E-3</v>
      </c>
    </row>
    <row r="1587" spans="7:15" x14ac:dyDescent="0.25">
      <c r="G1587" s="23">
        <v>43175</v>
      </c>
      <c r="H1587" s="22">
        <v>257.4425</v>
      </c>
      <c r="I1587">
        <f t="shared" si="48"/>
        <v>-4.5734118046455441E-3</v>
      </c>
      <c r="J1587" s="23">
        <v>43175</v>
      </c>
      <c r="K1587" s="22">
        <v>522.70079999999996</v>
      </c>
      <c r="L1587">
        <f t="shared" si="48"/>
        <v>2.1871977175069723E-4</v>
      </c>
      <c r="M1587" s="23">
        <v>43144</v>
      </c>
      <c r="N1587" s="22">
        <v>697.64930000000004</v>
      </c>
      <c r="O1587">
        <f t="shared" si="49"/>
        <v>7.9845916017617924E-5</v>
      </c>
    </row>
    <row r="1588" spans="7:15" x14ac:dyDescent="0.25">
      <c r="G1588" s="23">
        <v>43178</v>
      </c>
      <c r="H1588" s="22">
        <v>257.55610000000001</v>
      </c>
      <c r="I1588">
        <f t="shared" si="48"/>
        <v>4.4126358313034686E-4</v>
      </c>
      <c r="J1588" s="23">
        <v>43178</v>
      </c>
      <c r="K1588" s="22">
        <v>523.18349999999998</v>
      </c>
      <c r="L1588">
        <f t="shared" si="48"/>
        <v>9.2347285483396213E-4</v>
      </c>
      <c r="M1588" s="23">
        <v>43145</v>
      </c>
      <c r="N1588" s="22">
        <v>697.06539999999995</v>
      </c>
      <c r="O1588">
        <f t="shared" si="49"/>
        <v>-8.36953466448076E-4</v>
      </c>
    </row>
    <row r="1589" spans="7:15" x14ac:dyDescent="0.25">
      <c r="G1589" s="23">
        <v>43179</v>
      </c>
      <c r="H1589" s="22">
        <v>257.43049999999999</v>
      </c>
      <c r="I1589">
        <f t="shared" si="48"/>
        <v>-4.8766074653261438E-4</v>
      </c>
      <c r="J1589" s="23">
        <v>43179</v>
      </c>
      <c r="K1589" s="22">
        <v>523.29250000000002</v>
      </c>
      <c r="L1589">
        <f t="shared" si="48"/>
        <v>2.083399036858502E-4</v>
      </c>
      <c r="M1589" s="23">
        <v>43146</v>
      </c>
      <c r="N1589" s="22">
        <v>696.82809999999995</v>
      </c>
      <c r="O1589">
        <f t="shared" si="49"/>
        <v>-3.4042716795301686E-4</v>
      </c>
    </row>
    <row r="1590" spans="7:15" x14ac:dyDescent="0.25">
      <c r="G1590" s="23">
        <v>43180</v>
      </c>
      <c r="H1590" s="22">
        <v>257.30450000000002</v>
      </c>
      <c r="I1590">
        <f t="shared" si="48"/>
        <v>-4.894524930029176E-4</v>
      </c>
      <c r="J1590" s="23">
        <v>43180</v>
      </c>
      <c r="K1590" s="22">
        <v>523.26210000000003</v>
      </c>
      <c r="L1590">
        <f t="shared" si="48"/>
        <v>-5.8093704763506615E-5</v>
      </c>
      <c r="M1590" s="23">
        <v>43147</v>
      </c>
      <c r="N1590" s="22">
        <v>696.69200000000001</v>
      </c>
      <c r="O1590">
        <f t="shared" si="49"/>
        <v>-1.953135931228589E-4</v>
      </c>
    </row>
    <row r="1591" spans="7:15" x14ac:dyDescent="0.25">
      <c r="G1591" s="23">
        <v>43181</v>
      </c>
      <c r="H1591" s="22">
        <v>257.31869999999998</v>
      </c>
      <c r="I1591">
        <f t="shared" si="48"/>
        <v>5.5187530727085488E-5</v>
      </c>
      <c r="J1591" s="23">
        <v>43181</v>
      </c>
      <c r="K1591" s="22">
        <v>524.25170000000003</v>
      </c>
      <c r="L1591">
        <f t="shared" si="48"/>
        <v>1.8912128357853053E-3</v>
      </c>
      <c r="M1591" s="23">
        <v>43150</v>
      </c>
      <c r="N1591" s="22">
        <v>696.69200000000001</v>
      </c>
      <c r="O1591">
        <f t="shared" si="49"/>
        <v>0</v>
      </c>
    </row>
    <row r="1592" spans="7:15" x14ac:dyDescent="0.25">
      <c r="G1592" s="23">
        <v>43182</v>
      </c>
      <c r="H1592" s="22">
        <v>257.56619999999998</v>
      </c>
      <c r="I1592">
        <f t="shared" si="48"/>
        <v>9.6184226020112895E-4</v>
      </c>
      <c r="J1592" s="23">
        <v>43182</v>
      </c>
      <c r="K1592" s="22">
        <v>524.48</v>
      </c>
      <c r="L1592">
        <f t="shared" si="48"/>
        <v>4.3547784394393219E-4</v>
      </c>
      <c r="M1592" s="23">
        <v>43151</v>
      </c>
      <c r="N1592" s="22">
        <v>696.07759999999996</v>
      </c>
      <c r="O1592">
        <f t="shared" si="49"/>
        <v>-8.8188180716874953E-4</v>
      </c>
    </row>
    <row r="1593" spans="7:15" x14ac:dyDescent="0.25">
      <c r="G1593" s="23">
        <v>43185</v>
      </c>
      <c r="H1593" s="22">
        <v>257.57150000000001</v>
      </c>
      <c r="I1593">
        <f t="shared" si="48"/>
        <v>2.0577234124852239E-5</v>
      </c>
      <c r="J1593" s="23">
        <v>43185</v>
      </c>
      <c r="K1593" s="22">
        <v>524.75250000000005</v>
      </c>
      <c r="L1593">
        <f t="shared" si="48"/>
        <v>5.1956223306892646E-4</v>
      </c>
      <c r="M1593" s="23">
        <v>43152</v>
      </c>
      <c r="N1593" s="22">
        <v>696.14980000000003</v>
      </c>
      <c r="O1593">
        <f t="shared" si="49"/>
        <v>1.0372406754655117E-4</v>
      </c>
    </row>
    <row r="1594" spans="7:15" x14ac:dyDescent="0.25">
      <c r="G1594" s="23">
        <v>43186</v>
      </c>
      <c r="H1594" s="22">
        <v>261.26159999999999</v>
      </c>
      <c r="I1594">
        <f t="shared" si="48"/>
        <v>1.4326507396975163E-2</v>
      </c>
      <c r="J1594" s="23">
        <v>43186</v>
      </c>
      <c r="K1594" s="22">
        <v>538.47619999999995</v>
      </c>
      <c r="L1594">
        <f t="shared" si="48"/>
        <v>2.6152710087136155E-2</v>
      </c>
      <c r="M1594" s="23">
        <v>43153</v>
      </c>
      <c r="N1594" s="22">
        <v>695.81560000000002</v>
      </c>
      <c r="O1594">
        <f t="shared" si="49"/>
        <v>-4.8006908857833874E-4</v>
      </c>
    </row>
    <row r="1595" spans="7:15" x14ac:dyDescent="0.25">
      <c r="G1595" s="23">
        <v>43187</v>
      </c>
      <c r="H1595" s="22">
        <v>261.51859999999999</v>
      </c>
      <c r="I1595">
        <f t="shared" si="48"/>
        <v>9.8368837976958723E-4</v>
      </c>
      <c r="J1595" s="23">
        <v>43187</v>
      </c>
      <c r="K1595" s="22">
        <v>539.32190000000003</v>
      </c>
      <c r="L1595">
        <f t="shared" si="48"/>
        <v>1.5705429506449597E-3</v>
      </c>
      <c r="M1595" s="23">
        <v>43154</v>
      </c>
      <c r="N1595" s="22">
        <v>695.55409999999995</v>
      </c>
      <c r="O1595">
        <f t="shared" si="49"/>
        <v>-3.7581796096564091E-4</v>
      </c>
    </row>
    <row r="1596" spans="7:15" x14ac:dyDescent="0.25">
      <c r="G1596" s="23">
        <v>43188</v>
      </c>
      <c r="H1596" s="22">
        <v>264.67869999999999</v>
      </c>
      <c r="I1596">
        <f t="shared" si="48"/>
        <v>1.208365294093805E-2</v>
      </c>
      <c r="J1596" s="23">
        <v>43188</v>
      </c>
      <c r="K1596" s="22">
        <v>558.93719999999996</v>
      </c>
      <c r="L1596">
        <f t="shared" si="48"/>
        <v>3.6370301298723318E-2</v>
      </c>
      <c r="M1596" s="23">
        <v>43157</v>
      </c>
      <c r="N1596" s="22">
        <v>695.71529999999996</v>
      </c>
      <c r="O1596">
        <f t="shared" si="49"/>
        <v>2.317576734864879E-4</v>
      </c>
    </row>
    <row r="1597" spans="7:15" x14ac:dyDescent="0.25">
      <c r="G1597" s="23">
        <v>43189</v>
      </c>
      <c r="H1597" s="22">
        <v>264.67869999999999</v>
      </c>
      <c r="I1597">
        <f t="shared" si="48"/>
        <v>0</v>
      </c>
      <c r="J1597" s="23">
        <v>43189</v>
      </c>
      <c r="K1597" s="22">
        <v>558.93719999999996</v>
      </c>
      <c r="L1597">
        <f t="shared" si="48"/>
        <v>0</v>
      </c>
      <c r="M1597" s="23">
        <v>43158</v>
      </c>
      <c r="N1597" s="22">
        <v>695.70050000000003</v>
      </c>
      <c r="O1597">
        <f t="shared" si="49"/>
        <v>-2.1273069601757122E-5</v>
      </c>
    </row>
    <row r="1598" spans="7:15" x14ac:dyDescent="0.25">
      <c r="G1598" s="23">
        <v>43192</v>
      </c>
      <c r="H1598" s="22">
        <v>264.3032</v>
      </c>
      <c r="I1598">
        <f t="shared" si="48"/>
        <v>-1.4187012404095478E-3</v>
      </c>
      <c r="J1598" s="23">
        <v>43192</v>
      </c>
      <c r="K1598" s="22">
        <v>559.60050000000001</v>
      </c>
      <c r="L1598">
        <f t="shared" si="48"/>
        <v>1.1867165041081762E-3</v>
      </c>
      <c r="M1598" s="23">
        <v>43159</v>
      </c>
      <c r="N1598" s="22">
        <v>706.43320000000006</v>
      </c>
      <c r="O1598">
        <f t="shared" si="49"/>
        <v>1.5427184542773809E-2</v>
      </c>
    </row>
    <row r="1599" spans="7:15" x14ac:dyDescent="0.25">
      <c r="G1599" s="23">
        <v>43193</v>
      </c>
      <c r="H1599" s="22">
        <v>265.5985</v>
      </c>
      <c r="I1599">
        <f t="shared" si="48"/>
        <v>4.9008108868904277E-3</v>
      </c>
      <c r="J1599" s="23">
        <v>43193</v>
      </c>
      <c r="K1599" s="22">
        <v>561.44839999999999</v>
      </c>
      <c r="L1599">
        <f t="shared" si="48"/>
        <v>3.3021771781833742E-3</v>
      </c>
      <c r="M1599" s="23">
        <v>43160</v>
      </c>
      <c r="N1599" s="22">
        <v>706.34299999999996</v>
      </c>
      <c r="O1599">
        <f t="shared" si="49"/>
        <v>-1.2768369323534756E-4</v>
      </c>
    </row>
    <row r="1600" spans="7:15" x14ac:dyDescent="0.25">
      <c r="G1600" s="23">
        <v>43194</v>
      </c>
      <c r="H1600" s="22">
        <v>265.57229999999998</v>
      </c>
      <c r="I1600">
        <f t="shared" si="48"/>
        <v>-9.8645135420682983E-5</v>
      </c>
      <c r="J1600" s="23">
        <v>43194</v>
      </c>
      <c r="K1600" s="22">
        <v>561.82659999999998</v>
      </c>
      <c r="L1600">
        <f t="shared" si="48"/>
        <v>6.7361488606976216E-4</v>
      </c>
      <c r="M1600" s="23">
        <v>43161</v>
      </c>
      <c r="N1600" s="22">
        <v>705.02009999999996</v>
      </c>
      <c r="O1600">
        <f t="shared" si="49"/>
        <v>-1.8728861190667745E-3</v>
      </c>
    </row>
    <row r="1601" spans="7:15" x14ac:dyDescent="0.25">
      <c r="G1601" s="23">
        <v>43195</v>
      </c>
      <c r="H1601" s="22">
        <v>267.00299999999999</v>
      </c>
      <c r="I1601">
        <f t="shared" si="48"/>
        <v>5.3872335330154009E-3</v>
      </c>
      <c r="J1601" s="23">
        <v>43195</v>
      </c>
      <c r="K1601" s="22">
        <v>562.0376</v>
      </c>
      <c r="L1601">
        <f t="shared" si="48"/>
        <v>3.7556071570832295E-4</v>
      </c>
      <c r="M1601" s="23">
        <v>43164</v>
      </c>
      <c r="N1601" s="22">
        <v>705.173</v>
      </c>
      <c r="O1601">
        <f t="shared" si="49"/>
        <v>2.1687324942942787E-4</v>
      </c>
    </row>
    <row r="1602" spans="7:15" x14ac:dyDescent="0.25">
      <c r="G1602" s="23">
        <v>43196</v>
      </c>
      <c r="H1602" s="22">
        <v>266.9282</v>
      </c>
      <c r="I1602">
        <f t="shared" si="48"/>
        <v>-2.8014666501863239E-4</v>
      </c>
      <c r="J1602" s="23">
        <v>43196</v>
      </c>
      <c r="K1602" s="22">
        <v>561.84429999999998</v>
      </c>
      <c r="L1602">
        <f t="shared" si="48"/>
        <v>-3.4392716786213473E-4</v>
      </c>
      <c r="M1602" s="23">
        <v>43165</v>
      </c>
      <c r="N1602" s="22">
        <v>705.16750000000002</v>
      </c>
      <c r="O1602">
        <f t="shared" si="49"/>
        <v>-7.7995045186796119E-6</v>
      </c>
    </row>
    <row r="1603" spans="7:15" x14ac:dyDescent="0.25">
      <c r="G1603" s="23">
        <v>43199</v>
      </c>
      <c r="H1603" s="22">
        <v>267.21109999999999</v>
      </c>
      <c r="I1603">
        <f t="shared" si="48"/>
        <v>1.059835566268319E-3</v>
      </c>
      <c r="J1603" s="23">
        <v>43199</v>
      </c>
      <c r="K1603" s="22">
        <v>562.08680000000004</v>
      </c>
      <c r="L1603">
        <f t="shared" si="48"/>
        <v>4.3161423903392837E-4</v>
      </c>
      <c r="M1603" s="23">
        <v>43166</v>
      </c>
      <c r="N1603" s="22">
        <v>705.59439999999995</v>
      </c>
      <c r="O1603">
        <f t="shared" si="49"/>
        <v>6.053880815550805E-4</v>
      </c>
    </row>
    <row r="1604" spans="7:15" x14ac:dyDescent="0.25">
      <c r="G1604" s="23">
        <v>43200</v>
      </c>
      <c r="H1604" s="22">
        <v>267.24889999999999</v>
      </c>
      <c r="I1604">
        <f t="shared" ref="I1604:L1659" si="50">H1604/H1603-1</f>
        <v>1.4146118929936335E-4</v>
      </c>
      <c r="J1604" s="23">
        <v>43200</v>
      </c>
      <c r="K1604" s="22">
        <v>562.25149999999996</v>
      </c>
      <c r="L1604">
        <f t="shared" si="50"/>
        <v>2.9301524248559474E-4</v>
      </c>
      <c r="M1604" s="23">
        <v>43167</v>
      </c>
      <c r="N1604" s="22">
        <v>706.23310000000004</v>
      </c>
      <c r="O1604">
        <f t="shared" ref="O1604:O1667" si="51">N1604/N1603-1</f>
        <v>9.0519425891155691E-4</v>
      </c>
    </row>
    <row r="1605" spans="7:15" x14ac:dyDescent="0.25">
      <c r="G1605" s="23">
        <v>43201</v>
      </c>
      <c r="H1605" s="22">
        <v>267.50940000000003</v>
      </c>
      <c r="I1605">
        <f t="shared" si="50"/>
        <v>9.7474676228803681E-4</v>
      </c>
      <c r="J1605" s="23">
        <v>43201</v>
      </c>
      <c r="K1605" s="22">
        <v>562.39269999999999</v>
      </c>
      <c r="L1605">
        <f t="shared" si="50"/>
        <v>2.5113316727476409E-4</v>
      </c>
      <c r="M1605" s="23">
        <v>43168</v>
      </c>
      <c r="N1605" s="22">
        <v>706.36500000000001</v>
      </c>
      <c r="O1605">
        <f t="shared" si="51"/>
        <v>1.867655310971994E-4</v>
      </c>
    </row>
    <row r="1606" spans="7:15" x14ac:dyDescent="0.25">
      <c r="G1606" s="23">
        <v>43202</v>
      </c>
      <c r="H1606" s="22">
        <v>267.53250000000003</v>
      </c>
      <c r="I1606">
        <f t="shared" si="50"/>
        <v>8.6352105757692144E-5</v>
      </c>
      <c r="J1606" s="23">
        <v>43202</v>
      </c>
      <c r="K1606" s="22">
        <v>562.3184</v>
      </c>
      <c r="L1606">
        <f t="shared" si="50"/>
        <v>-1.321140903856044E-4</v>
      </c>
      <c r="M1606" s="23">
        <v>43171</v>
      </c>
      <c r="N1606" s="22">
        <v>707.2278</v>
      </c>
      <c r="O1606">
        <f t="shared" si="51"/>
        <v>1.2214648234269987E-3</v>
      </c>
    </row>
    <row r="1607" spans="7:15" x14ac:dyDescent="0.25">
      <c r="G1607" s="23">
        <v>43203</v>
      </c>
      <c r="H1607" s="22">
        <v>269.00900000000001</v>
      </c>
      <c r="I1607">
        <f t="shared" si="50"/>
        <v>5.5189556409034335E-3</v>
      </c>
      <c r="J1607" s="23">
        <v>43203</v>
      </c>
      <c r="K1607" s="22">
        <v>562.29729999999995</v>
      </c>
      <c r="L1607">
        <f t="shared" si="50"/>
        <v>-3.7523225276059335E-5</v>
      </c>
      <c r="M1607" s="23">
        <v>43172</v>
      </c>
      <c r="N1607" s="22">
        <v>712.59529999999995</v>
      </c>
      <c r="O1607">
        <f t="shared" si="51"/>
        <v>7.5894923813797366E-3</v>
      </c>
    </row>
    <row r="1608" spans="7:15" x14ac:dyDescent="0.25">
      <c r="G1608" s="23">
        <v>43206</v>
      </c>
      <c r="H1608" s="22">
        <v>270.03590000000003</v>
      </c>
      <c r="I1608">
        <f t="shared" si="50"/>
        <v>3.8173444011166957E-3</v>
      </c>
      <c r="J1608" s="23">
        <v>43206</v>
      </c>
      <c r="K1608" s="22">
        <v>562.20320000000004</v>
      </c>
      <c r="L1608">
        <f t="shared" si="50"/>
        <v>-1.6734919410055227E-4</v>
      </c>
      <c r="M1608" s="23">
        <v>43173</v>
      </c>
      <c r="N1608" s="22">
        <v>712.09220000000005</v>
      </c>
      <c r="O1608">
        <f t="shared" si="51"/>
        <v>-7.0601083111254681E-4</v>
      </c>
    </row>
    <row r="1609" spans="7:15" x14ac:dyDescent="0.25">
      <c r="G1609" s="23">
        <v>43207</v>
      </c>
      <c r="H1609" s="22">
        <v>271.1574</v>
      </c>
      <c r="I1609">
        <f t="shared" si="50"/>
        <v>4.1531514883761389E-3</v>
      </c>
      <c r="J1609" s="23">
        <v>43207</v>
      </c>
      <c r="K1609" s="22">
        <v>562.63990000000001</v>
      </c>
      <c r="L1609">
        <f t="shared" si="50"/>
        <v>7.7676541150961675E-4</v>
      </c>
      <c r="M1609" s="23">
        <v>43174</v>
      </c>
      <c r="N1609" s="22">
        <v>711.84680000000003</v>
      </c>
      <c r="O1609">
        <f t="shared" si="51"/>
        <v>-3.4461829521514886E-4</v>
      </c>
    </row>
    <row r="1610" spans="7:15" x14ac:dyDescent="0.25">
      <c r="G1610" s="23">
        <v>43208</v>
      </c>
      <c r="H1610" s="22">
        <v>295.31540000000001</v>
      </c>
      <c r="I1610">
        <f t="shared" si="50"/>
        <v>8.9092165657289835E-2</v>
      </c>
      <c r="J1610" s="23">
        <v>43208</v>
      </c>
      <c r="K1610" s="22">
        <v>562.97149999999999</v>
      </c>
      <c r="L1610">
        <f t="shared" si="50"/>
        <v>5.8936452960400842E-4</v>
      </c>
      <c r="M1610" s="23">
        <v>43175</v>
      </c>
      <c r="N1610" s="22">
        <v>711.99580000000003</v>
      </c>
      <c r="O1610">
        <f t="shared" si="51"/>
        <v>2.0931470085971959E-4</v>
      </c>
    </row>
    <row r="1611" spans="7:15" x14ac:dyDescent="0.25">
      <c r="G1611" s="23">
        <v>43209</v>
      </c>
      <c r="H1611" s="22">
        <v>295.12810000000002</v>
      </c>
      <c r="I1611">
        <f t="shared" si="50"/>
        <v>-6.3423715796739888E-4</v>
      </c>
      <c r="J1611" s="23">
        <v>43209</v>
      </c>
      <c r="K1611" s="22">
        <v>563.35360000000003</v>
      </c>
      <c r="L1611">
        <f t="shared" si="50"/>
        <v>6.7871997072677104E-4</v>
      </c>
      <c r="M1611" s="23">
        <v>43178</v>
      </c>
      <c r="N1611" s="22">
        <v>712.53110000000004</v>
      </c>
      <c r="O1611">
        <f t="shared" si="51"/>
        <v>7.5183027765057808E-4</v>
      </c>
    </row>
    <row r="1612" spans="7:15" x14ac:dyDescent="0.25">
      <c r="G1612" s="23">
        <v>43210</v>
      </c>
      <c r="H1612" s="22">
        <v>294.92200000000003</v>
      </c>
      <c r="I1612">
        <f t="shared" si="50"/>
        <v>-6.9834082217179461E-4</v>
      </c>
      <c r="J1612" s="23">
        <v>43210</v>
      </c>
      <c r="K1612" s="22">
        <v>565.62929999999994</v>
      </c>
      <c r="L1612">
        <f t="shared" si="50"/>
        <v>4.0395588135051508E-3</v>
      </c>
      <c r="M1612" s="23">
        <v>43179</v>
      </c>
      <c r="N1612" s="22">
        <v>712.55650000000003</v>
      </c>
      <c r="O1612">
        <f t="shared" si="51"/>
        <v>3.564756682195025E-5</v>
      </c>
    </row>
    <row r="1613" spans="7:15" x14ac:dyDescent="0.25">
      <c r="G1613" s="23">
        <v>43213</v>
      </c>
      <c r="H1613" s="22">
        <v>294.875</v>
      </c>
      <c r="I1613">
        <f t="shared" si="50"/>
        <v>-1.5936417086559462E-4</v>
      </c>
      <c r="J1613" s="23">
        <v>43213</v>
      </c>
      <c r="K1613" s="22">
        <v>566.10339999999997</v>
      </c>
      <c r="L1613">
        <f t="shared" si="50"/>
        <v>8.3818147327230363E-4</v>
      </c>
      <c r="M1613" s="23">
        <v>43180</v>
      </c>
      <c r="N1613" s="22">
        <v>712.56619999999998</v>
      </c>
      <c r="O1613">
        <f t="shared" si="51"/>
        <v>1.3612955604092036E-5</v>
      </c>
    </row>
    <row r="1614" spans="7:15" x14ac:dyDescent="0.25">
      <c r="G1614" s="23">
        <v>43214</v>
      </c>
      <c r="H1614" s="22">
        <v>294.64569999999998</v>
      </c>
      <c r="I1614">
        <f t="shared" si="50"/>
        <v>-7.776176345910546E-4</v>
      </c>
      <c r="J1614" s="23">
        <v>43214</v>
      </c>
      <c r="K1614" s="22">
        <v>565.67550000000006</v>
      </c>
      <c r="L1614">
        <f t="shared" si="50"/>
        <v>-7.5586898082558029E-4</v>
      </c>
      <c r="M1614" s="23">
        <v>43181</v>
      </c>
      <c r="N1614" s="22">
        <v>714.39390000000003</v>
      </c>
      <c r="O1614">
        <f t="shared" si="51"/>
        <v>2.5649546666681733E-3</v>
      </c>
    </row>
    <row r="1615" spans="7:15" x14ac:dyDescent="0.25">
      <c r="G1615" s="23">
        <v>43215</v>
      </c>
      <c r="H1615" s="22">
        <v>294.63659999999999</v>
      </c>
      <c r="I1615">
        <f t="shared" si="50"/>
        <v>-3.088455049571337E-5</v>
      </c>
      <c r="J1615" s="23">
        <v>43215</v>
      </c>
      <c r="K1615" s="22">
        <v>565.73519999999996</v>
      </c>
      <c r="L1615">
        <f t="shared" si="50"/>
        <v>1.0553753874775751E-4</v>
      </c>
      <c r="M1615" s="23">
        <v>43182</v>
      </c>
      <c r="N1615" s="22">
        <v>714.80780000000004</v>
      </c>
      <c r="O1615">
        <f t="shared" si="51"/>
        <v>5.7937224827919742E-4</v>
      </c>
    </row>
    <row r="1616" spans="7:15" x14ac:dyDescent="0.25">
      <c r="G1616" s="23">
        <v>43216</v>
      </c>
      <c r="H1616" s="22">
        <v>293.52600000000001</v>
      </c>
      <c r="I1616">
        <f t="shared" si="50"/>
        <v>-3.7693891390274681E-3</v>
      </c>
      <c r="J1616" s="23">
        <v>43216</v>
      </c>
      <c r="K1616" s="22">
        <v>565.75250000000005</v>
      </c>
      <c r="L1616">
        <f t="shared" si="50"/>
        <v>3.0579677559483542E-5</v>
      </c>
      <c r="M1616" s="23">
        <v>43185</v>
      </c>
      <c r="N1616" s="22">
        <v>714.89850000000001</v>
      </c>
      <c r="O1616">
        <f t="shared" si="51"/>
        <v>1.2688725556708746E-4</v>
      </c>
    </row>
    <row r="1617" spans="7:15" x14ac:dyDescent="0.25">
      <c r="G1617" s="23">
        <v>43217</v>
      </c>
      <c r="H1617" s="22">
        <v>293.04539999999997</v>
      </c>
      <c r="I1617">
        <f t="shared" si="50"/>
        <v>-1.6373336603914268E-3</v>
      </c>
      <c r="J1617" s="23">
        <v>43217</v>
      </c>
      <c r="K1617" s="22">
        <v>565.76170000000002</v>
      </c>
      <c r="L1617">
        <f t="shared" si="50"/>
        <v>1.626152778810841E-5</v>
      </c>
      <c r="M1617" s="23">
        <v>43186</v>
      </c>
      <c r="N1617" s="22">
        <v>729.33510000000001</v>
      </c>
      <c r="O1617">
        <f t="shared" si="51"/>
        <v>2.0193915639772575E-2</v>
      </c>
    </row>
    <row r="1618" spans="7:15" x14ac:dyDescent="0.25">
      <c r="G1618" s="23">
        <v>43220</v>
      </c>
      <c r="H1618" s="22">
        <v>292.05860000000001</v>
      </c>
      <c r="I1618">
        <f t="shared" si="50"/>
        <v>-3.3673963147006214E-3</v>
      </c>
      <c r="J1618" s="23">
        <v>43220</v>
      </c>
      <c r="K1618" s="22">
        <v>565.77790000000005</v>
      </c>
      <c r="L1618">
        <f t="shared" si="50"/>
        <v>2.8633963734314705E-5</v>
      </c>
      <c r="M1618" s="23">
        <v>43187</v>
      </c>
      <c r="N1618" s="22">
        <v>730.2568</v>
      </c>
      <c r="O1618">
        <f t="shared" si="51"/>
        <v>1.2637537943807065E-3</v>
      </c>
    </row>
    <row r="1619" spans="7:15" x14ac:dyDescent="0.25">
      <c r="G1619" s="23">
        <v>43221</v>
      </c>
      <c r="H1619" s="22">
        <v>292.06270000000001</v>
      </c>
      <c r="I1619">
        <f t="shared" si="50"/>
        <v>1.4038278619343814E-5</v>
      </c>
      <c r="J1619" s="23">
        <v>43221</v>
      </c>
      <c r="K1619" s="22">
        <v>565.52470000000005</v>
      </c>
      <c r="L1619">
        <f t="shared" si="50"/>
        <v>-4.4752543356674224E-4</v>
      </c>
      <c r="M1619" s="23">
        <v>43188</v>
      </c>
      <c r="N1619" s="22">
        <v>735.80190000000005</v>
      </c>
      <c r="O1619">
        <f t="shared" si="51"/>
        <v>7.5933562001750943E-3</v>
      </c>
    </row>
    <row r="1620" spans="7:15" x14ac:dyDescent="0.25">
      <c r="G1620" s="23">
        <v>43222</v>
      </c>
      <c r="H1620" s="22">
        <v>291.66750000000002</v>
      </c>
      <c r="I1620">
        <f t="shared" si="50"/>
        <v>-1.3531341044233924E-3</v>
      </c>
      <c r="J1620" s="23">
        <v>43222</v>
      </c>
      <c r="K1620" s="22">
        <v>562.827</v>
      </c>
      <c r="L1620">
        <f t="shared" si="50"/>
        <v>-4.7702602556529694E-3</v>
      </c>
      <c r="M1620" s="23">
        <v>43189</v>
      </c>
      <c r="N1620" s="22">
        <v>735.80190000000005</v>
      </c>
      <c r="O1620">
        <f t="shared" si="51"/>
        <v>0</v>
      </c>
    </row>
    <row r="1621" spans="7:15" x14ac:dyDescent="0.25">
      <c r="G1621" s="23">
        <v>43223</v>
      </c>
      <c r="H1621" s="22">
        <v>291.54969999999997</v>
      </c>
      <c r="I1621">
        <f t="shared" si="50"/>
        <v>-4.0388456033002562E-4</v>
      </c>
      <c r="J1621" s="23">
        <v>43223</v>
      </c>
      <c r="K1621" s="22">
        <v>561.70529999999997</v>
      </c>
      <c r="L1621">
        <f t="shared" si="50"/>
        <v>-1.992974750678278E-3</v>
      </c>
      <c r="M1621" s="23">
        <v>43192</v>
      </c>
      <c r="N1621" s="22">
        <v>736.16570000000002</v>
      </c>
      <c r="O1621">
        <f t="shared" si="51"/>
        <v>4.9442655693066051E-4</v>
      </c>
    </row>
    <row r="1622" spans="7:15" x14ac:dyDescent="0.25">
      <c r="G1622" s="23">
        <v>43224</v>
      </c>
      <c r="H1622" s="22">
        <v>291.44819999999999</v>
      </c>
      <c r="I1622">
        <f t="shared" si="50"/>
        <v>-3.4813961393198589E-4</v>
      </c>
      <c r="J1622" s="23">
        <v>43224</v>
      </c>
      <c r="K1622" s="22">
        <v>561.0915</v>
      </c>
      <c r="L1622">
        <f t="shared" si="50"/>
        <v>-1.0927438284807911E-3</v>
      </c>
      <c r="M1622" s="23">
        <v>43193</v>
      </c>
      <c r="N1622" s="22">
        <v>736.80330000000004</v>
      </c>
      <c r="O1622">
        <f t="shared" si="51"/>
        <v>8.661093555433208E-4</v>
      </c>
    </row>
    <row r="1623" spans="7:15" x14ac:dyDescent="0.25">
      <c r="G1623" s="23">
        <v>43227</v>
      </c>
      <c r="H1623" s="22">
        <v>291.43720000000002</v>
      </c>
      <c r="I1623">
        <f t="shared" si="50"/>
        <v>-3.7742555967001934E-5</v>
      </c>
      <c r="J1623" s="23">
        <v>43227</v>
      </c>
      <c r="K1623" s="22">
        <v>561.0471</v>
      </c>
      <c r="L1623">
        <f t="shared" si="50"/>
        <v>-7.9131478555649615E-5</v>
      </c>
      <c r="M1623" s="23">
        <v>43194</v>
      </c>
      <c r="N1623" s="22">
        <v>736.60400000000004</v>
      </c>
      <c r="O1623">
        <f t="shared" si="51"/>
        <v>-2.7049281673952041E-4</v>
      </c>
    </row>
    <row r="1624" spans="7:15" x14ac:dyDescent="0.25">
      <c r="G1624" s="23">
        <v>43228</v>
      </c>
      <c r="H1624" s="22">
        <v>291.16629999999998</v>
      </c>
      <c r="I1624">
        <f t="shared" si="50"/>
        <v>-9.2953130211259616E-4</v>
      </c>
      <c r="J1624" s="23">
        <v>43228</v>
      </c>
      <c r="K1624" s="22">
        <v>560.96489999999994</v>
      </c>
      <c r="L1624">
        <f t="shared" si="50"/>
        <v>-1.4651176345092942E-4</v>
      </c>
      <c r="M1624" s="23">
        <v>43195</v>
      </c>
      <c r="N1624" s="22">
        <v>736.71900000000005</v>
      </c>
      <c r="O1624">
        <f t="shared" si="51"/>
        <v>1.5612187824132207E-4</v>
      </c>
    </row>
    <row r="1625" spans="7:15" x14ac:dyDescent="0.25">
      <c r="G1625" s="23">
        <v>43229</v>
      </c>
      <c r="H1625" s="22">
        <v>290.51670000000001</v>
      </c>
      <c r="I1625">
        <f t="shared" si="50"/>
        <v>-2.231027423159726E-3</v>
      </c>
      <c r="J1625" s="23">
        <v>43229</v>
      </c>
      <c r="K1625" s="22">
        <v>560.86680000000001</v>
      </c>
      <c r="L1625">
        <f t="shared" si="50"/>
        <v>-1.7487725167819601E-4</v>
      </c>
      <c r="M1625" s="23">
        <v>43196</v>
      </c>
      <c r="N1625" s="22">
        <v>736.72170000000006</v>
      </c>
      <c r="O1625">
        <f t="shared" si="51"/>
        <v>3.6648980139553089E-6</v>
      </c>
    </row>
    <row r="1626" spans="7:15" x14ac:dyDescent="0.25">
      <c r="G1626" s="23">
        <v>43230</v>
      </c>
      <c r="H1626" s="22">
        <v>283.8476</v>
      </c>
      <c r="I1626">
        <f t="shared" si="50"/>
        <v>-2.2955995300786514E-2</v>
      </c>
      <c r="J1626" s="23">
        <v>43230</v>
      </c>
      <c r="K1626" s="22">
        <v>549.721</v>
      </c>
      <c r="L1626">
        <f t="shared" si="50"/>
        <v>-1.9872454564969777E-2</v>
      </c>
      <c r="M1626" s="23">
        <v>43199</v>
      </c>
      <c r="N1626" s="22">
        <v>736.76549999999997</v>
      </c>
      <c r="O1626">
        <f t="shared" si="51"/>
        <v>5.9452572117590918E-5</v>
      </c>
    </row>
    <row r="1627" spans="7:15" x14ac:dyDescent="0.25">
      <c r="G1627" s="23">
        <v>43231</v>
      </c>
      <c r="H1627" s="22">
        <v>283.69189999999998</v>
      </c>
      <c r="I1627">
        <f t="shared" si="50"/>
        <v>-5.4853379066799324E-4</v>
      </c>
      <c r="J1627" s="23">
        <v>43231</v>
      </c>
      <c r="K1627" s="22">
        <v>546.04499999999996</v>
      </c>
      <c r="L1627">
        <f t="shared" si="50"/>
        <v>-6.687028510826476E-3</v>
      </c>
      <c r="M1627" s="23">
        <v>43200</v>
      </c>
      <c r="N1627" s="22">
        <v>736.7962</v>
      </c>
      <c r="O1627">
        <f t="shared" si="51"/>
        <v>4.1668617762447013E-5</v>
      </c>
    </row>
    <row r="1628" spans="7:15" x14ac:dyDescent="0.25">
      <c r="G1628" s="23">
        <v>43234</v>
      </c>
      <c r="H1628" s="22">
        <v>283.61970000000002</v>
      </c>
      <c r="I1628">
        <f t="shared" si="50"/>
        <v>-2.5450145034089378E-4</v>
      </c>
      <c r="J1628" s="23">
        <v>43234</v>
      </c>
      <c r="K1628" s="22">
        <v>546.16959999999995</v>
      </c>
      <c r="L1628">
        <f t="shared" si="50"/>
        <v>2.2818632164023356E-4</v>
      </c>
      <c r="M1628" s="23">
        <v>43201</v>
      </c>
      <c r="N1628" s="22">
        <v>736.9683</v>
      </c>
      <c r="O1628">
        <f t="shared" si="51"/>
        <v>2.3357883767594068E-4</v>
      </c>
    </row>
    <row r="1629" spans="7:15" x14ac:dyDescent="0.25">
      <c r="G1629" s="23">
        <v>43235</v>
      </c>
      <c r="H1629" s="22">
        <v>283.63679999999999</v>
      </c>
      <c r="I1629">
        <f t="shared" si="50"/>
        <v>6.0292003693618312E-5</v>
      </c>
      <c r="J1629" s="23">
        <v>43235</v>
      </c>
      <c r="K1629" s="22">
        <v>546.10739999999998</v>
      </c>
      <c r="L1629">
        <f t="shared" si="50"/>
        <v>-1.1388403895051802E-4</v>
      </c>
      <c r="M1629" s="23">
        <v>43202</v>
      </c>
      <c r="N1629" s="22">
        <v>736.97829999999999</v>
      </c>
      <c r="O1629">
        <f t="shared" si="51"/>
        <v>1.356910466832062E-5</v>
      </c>
    </row>
    <row r="1630" spans="7:15" x14ac:dyDescent="0.25">
      <c r="G1630" s="23">
        <v>43236</v>
      </c>
      <c r="H1630" s="22">
        <v>283.4461</v>
      </c>
      <c r="I1630">
        <f t="shared" si="50"/>
        <v>-6.7233870922245309E-4</v>
      </c>
      <c r="J1630" s="23">
        <v>43236</v>
      </c>
      <c r="K1630" s="22">
        <v>545.8759</v>
      </c>
      <c r="L1630">
        <f t="shared" si="50"/>
        <v>-4.2390928963786934E-4</v>
      </c>
      <c r="M1630" s="23">
        <v>43203</v>
      </c>
      <c r="N1630" s="22">
        <v>737.07</v>
      </c>
      <c r="O1630">
        <f t="shared" si="51"/>
        <v>1.2442700144643659E-4</v>
      </c>
    </row>
    <row r="1631" spans="7:15" x14ac:dyDescent="0.25">
      <c r="G1631" s="23">
        <v>43237</v>
      </c>
      <c r="H1631" s="22">
        <v>283.50830000000002</v>
      </c>
      <c r="I1631">
        <f t="shared" si="50"/>
        <v>2.1944207381929814E-4</v>
      </c>
      <c r="J1631" s="23">
        <v>43237</v>
      </c>
      <c r="K1631" s="22">
        <v>545.89970000000005</v>
      </c>
      <c r="L1631">
        <f t="shared" si="50"/>
        <v>4.3599653327897059E-5</v>
      </c>
      <c r="M1631" s="23">
        <v>43206</v>
      </c>
      <c r="N1631" s="22">
        <v>737.71029999999996</v>
      </c>
      <c r="O1631">
        <f t="shared" si="51"/>
        <v>8.687098918689351E-4</v>
      </c>
    </row>
    <row r="1632" spans="7:15" x14ac:dyDescent="0.25">
      <c r="G1632" s="23">
        <v>43238</v>
      </c>
      <c r="H1632" s="22">
        <v>283.33999999999997</v>
      </c>
      <c r="I1632">
        <f t="shared" si="50"/>
        <v>-5.9363341390727964E-4</v>
      </c>
      <c r="J1632" s="23">
        <v>43238</v>
      </c>
      <c r="K1632" s="22">
        <v>541.92219999999998</v>
      </c>
      <c r="L1632">
        <f t="shared" si="50"/>
        <v>-7.286136995495851E-3</v>
      </c>
      <c r="M1632" s="23">
        <v>43207</v>
      </c>
      <c r="N1632" s="22">
        <v>738.03449999999998</v>
      </c>
      <c r="O1632">
        <f t="shared" si="51"/>
        <v>4.3946790494864274E-4</v>
      </c>
    </row>
    <row r="1633" spans="7:15" x14ac:dyDescent="0.25">
      <c r="G1633" s="23">
        <v>43241</v>
      </c>
      <c r="H1633" s="22">
        <v>283.26220000000001</v>
      </c>
      <c r="I1633">
        <f t="shared" si="50"/>
        <v>-2.7458177454642296E-4</v>
      </c>
      <c r="J1633" s="23">
        <v>43241</v>
      </c>
      <c r="K1633" s="22">
        <v>541.68619999999999</v>
      </c>
      <c r="L1633">
        <f t="shared" si="50"/>
        <v>-4.3548686508876333E-4</v>
      </c>
      <c r="M1633" s="23">
        <v>43208</v>
      </c>
      <c r="N1633" s="22">
        <v>737.68370000000004</v>
      </c>
      <c r="O1633">
        <f t="shared" si="51"/>
        <v>-4.7531653330556978E-4</v>
      </c>
    </row>
    <row r="1634" spans="7:15" x14ac:dyDescent="0.25">
      <c r="G1634" s="23">
        <v>43242</v>
      </c>
      <c r="H1634" s="22">
        <v>283.29140000000001</v>
      </c>
      <c r="I1634">
        <f t="shared" si="50"/>
        <v>1.0308470385389512E-4</v>
      </c>
      <c r="J1634" s="23">
        <v>43242</v>
      </c>
      <c r="K1634" s="22">
        <v>541.91719999999998</v>
      </c>
      <c r="L1634">
        <f t="shared" si="50"/>
        <v>4.2644616015685699E-4</v>
      </c>
      <c r="M1634" s="23">
        <v>43209</v>
      </c>
      <c r="N1634" s="22">
        <v>739.63649999999996</v>
      </c>
      <c r="O1634">
        <f t="shared" si="51"/>
        <v>2.647205028388111E-3</v>
      </c>
    </row>
    <row r="1635" spans="7:15" x14ac:dyDescent="0.25">
      <c r="G1635" s="23">
        <v>43243</v>
      </c>
      <c r="H1635" s="22">
        <v>283.23939999999999</v>
      </c>
      <c r="I1635">
        <f t="shared" si="50"/>
        <v>-1.8355657813839965E-4</v>
      </c>
      <c r="J1635" s="23">
        <v>43243</v>
      </c>
      <c r="K1635" s="22">
        <v>541.94439999999997</v>
      </c>
      <c r="L1635">
        <f t="shared" si="50"/>
        <v>5.0192169578577861E-5</v>
      </c>
      <c r="M1635" s="23">
        <v>43210</v>
      </c>
      <c r="N1635" s="22">
        <v>740.87429999999995</v>
      </c>
      <c r="O1635">
        <f t="shared" si="51"/>
        <v>1.6735247652055474E-3</v>
      </c>
    </row>
    <row r="1636" spans="7:15" x14ac:dyDescent="0.25">
      <c r="G1636" s="23">
        <v>43244</v>
      </c>
      <c r="H1636" s="22">
        <v>283.22149999999999</v>
      </c>
      <c r="I1636">
        <f t="shared" si="50"/>
        <v>-6.3197422392469171E-5</v>
      </c>
      <c r="J1636" s="23">
        <v>43244</v>
      </c>
      <c r="K1636" s="22">
        <v>542.1087</v>
      </c>
      <c r="L1636">
        <f t="shared" si="50"/>
        <v>3.0316763121840395E-4</v>
      </c>
      <c r="M1636" s="23">
        <v>43213</v>
      </c>
      <c r="N1636" s="22">
        <v>741.73159999999996</v>
      </c>
      <c r="O1636">
        <f t="shared" si="51"/>
        <v>1.1571463607253918E-3</v>
      </c>
    </row>
    <row r="1637" spans="7:15" x14ac:dyDescent="0.25">
      <c r="G1637" s="23">
        <v>43245</v>
      </c>
      <c r="H1637" s="22">
        <v>283.08780000000002</v>
      </c>
      <c r="I1637">
        <f t="shared" si="50"/>
        <v>-4.7206868122640078E-4</v>
      </c>
      <c r="J1637" s="23">
        <v>43245</v>
      </c>
      <c r="K1637" s="22">
        <v>542.26390000000004</v>
      </c>
      <c r="L1637">
        <f t="shared" si="50"/>
        <v>2.8628944711650561E-4</v>
      </c>
      <c r="M1637" s="23">
        <v>43214</v>
      </c>
      <c r="N1637" s="22">
        <v>741.30139999999994</v>
      </c>
      <c r="O1637">
        <f t="shared" si="51"/>
        <v>-5.7999416500520429E-4</v>
      </c>
    </row>
    <row r="1638" spans="7:15" x14ac:dyDescent="0.25">
      <c r="G1638" s="23">
        <v>43248</v>
      </c>
      <c r="H1638" s="22">
        <v>283.08780000000002</v>
      </c>
      <c r="I1638">
        <f t="shared" si="50"/>
        <v>0</v>
      </c>
      <c r="J1638" s="23">
        <v>43248</v>
      </c>
      <c r="K1638" s="22">
        <v>542.26390000000004</v>
      </c>
      <c r="L1638">
        <f t="shared" si="50"/>
        <v>0</v>
      </c>
      <c r="M1638" s="23">
        <v>43215</v>
      </c>
      <c r="N1638" s="22">
        <v>741.23180000000002</v>
      </c>
      <c r="O1638">
        <f t="shared" si="51"/>
        <v>-9.3888936402830581E-5</v>
      </c>
    </row>
    <row r="1639" spans="7:15" x14ac:dyDescent="0.25">
      <c r="G1639" s="23">
        <v>43249</v>
      </c>
      <c r="H1639" s="22">
        <v>282.97059999999999</v>
      </c>
      <c r="I1639">
        <f t="shared" si="50"/>
        <v>-4.1400583140649427E-4</v>
      </c>
      <c r="J1639" s="23">
        <v>43249</v>
      </c>
      <c r="K1639" s="22">
        <v>542.54970000000003</v>
      </c>
      <c r="L1639">
        <f t="shared" si="50"/>
        <v>5.2704965239258605E-4</v>
      </c>
      <c r="M1639" s="23">
        <v>43216</v>
      </c>
      <c r="N1639" s="22">
        <v>741.375</v>
      </c>
      <c r="O1639">
        <f t="shared" si="51"/>
        <v>1.931919272755156E-4</v>
      </c>
    </row>
    <row r="1640" spans="7:15" x14ac:dyDescent="0.25">
      <c r="G1640" s="23">
        <v>43250</v>
      </c>
      <c r="H1640" s="22">
        <v>282.83969999999999</v>
      </c>
      <c r="I1640">
        <f t="shared" si="50"/>
        <v>-4.6259222689559731E-4</v>
      </c>
      <c r="J1640" s="23">
        <v>43250</v>
      </c>
      <c r="K1640" s="22">
        <v>542.68280000000004</v>
      </c>
      <c r="L1640">
        <f t="shared" si="50"/>
        <v>2.4532314735403737E-4</v>
      </c>
      <c r="M1640" s="23">
        <v>43217</v>
      </c>
      <c r="N1640" s="22">
        <v>741.50239999999997</v>
      </c>
      <c r="O1640">
        <f t="shared" si="51"/>
        <v>1.7184285955140766E-4</v>
      </c>
    </row>
    <row r="1641" spans="7:15" x14ac:dyDescent="0.25">
      <c r="G1641" s="23">
        <v>43251</v>
      </c>
      <c r="H1641" s="22">
        <v>282.84129999999999</v>
      </c>
      <c r="I1641">
        <f t="shared" si="50"/>
        <v>5.6569144997187237E-6</v>
      </c>
      <c r="J1641" s="23">
        <v>43251</v>
      </c>
      <c r="K1641" s="22">
        <v>544.69410000000005</v>
      </c>
      <c r="L1641">
        <f t="shared" si="50"/>
        <v>3.7062165965091598E-3</v>
      </c>
      <c r="M1641" s="23">
        <v>43220</v>
      </c>
      <c r="N1641" s="22">
        <v>746.53959999999995</v>
      </c>
      <c r="O1641">
        <f t="shared" si="51"/>
        <v>6.7932349241215384E-3</v>
      </c>
    </row>
    <row r="1642" spans="7:15" x14ac:dyDescent="0.25">
      <c r="G1642" s="23">
        <v>43252</v>
      </c>
      <c r="H1642" s="22">
        <v>282.86520000000002</v>
      </c>
      <c r="I1642">
        <f t="shared" si="50"/>
        <v>8.4499682330818615E-5</v>
      </c>
      <c r="J1642" s="23">
        <v>43252</v>
      </c>
      <c r="K1642" s="22">
        <v>544.78959999999995</v>
      </c>
      <c r="L1642">
        <f t="shared" si="50"/>
        <v>1.7532776653883531E-4</v>
      </c>
      <c r="M1642" s="23">
        <v>43221</v>
      </c>
      <c r="N1642" s="22">
        <v>747.59580000000005</v>
      </c>
      <c r="O1642">
        <f t="shared" si="51"/>
        <v>1.414794339108294E-3</v>
      </c>
    </row>
    <row r="1643" spans="7:15" x14ac:dyDescent="0.25">
      <c r="G1643" s="23">
        <v>43255</v>
      </c>
      <c r="H1643" s="22">
        <v>282.81200000000001</v>
      </c>
      <c r="I1643">
        <f t="shared" si="50"/>
        <v>-1.880754507801452E-4</v>
      </c>
      <c r="J1643" s="23">
        <v>43255</v>
      </c>
      <c r="K1643" s="22">
        <v>545.13139999999999</v>
      </c>
      <c r="L1643">
        <f t="shared" si="50"/>
        <v>6.273981735334111E-4</v>
      </c>
      <c r="M1643" s="23">
        <v>43222</v>
      </c>
      <c r="N1643" s="22">
        <v>748.83550000000002</v>
      </c>
      <c r="O1643">
        <f t="shared" si="51"/>
        <v>1.65824901638012E-3</v>
      </c>
    </row>
    <row r="1644" spans="7:15" x14ac:dyDescent="0.25">
      <c r="G1644" s="23">
        <v>43256</v>
      </c>
      <c r="H1644" s="22">
        <v>282.95269999999999</v>
      </c>
      <c r="I1644">
        <f t="shared" si="50"/>
        <v>4.9750364199541153E-4</v>
      </c>
      <c r="J1644" s="23">
        <v>43256</v>
      </c>
      <c r="K1644" s="22">
        <v>544.88310000000001</v>
      </c>
      <c r="L1644">
        <f t="shared" si="50"/>
        <v>-4.5548651205928881E-4</v>
      </c>
      <c r="M1644" s="23">
        <v>43223</v>
      </c>
      <c r="N1644" s="22">
        <v>749.99680000000001</v>
      </c>
      <c r="O1644">
        <f t="shared" si="51"/>
        <v>1.5508078877135567E-3</v>
      </c>
    </row>
    <row r="1645" spans="7:15" x14ac:dyDescent="0.25">
      <c r="G1645" s="23">
        <v>43257</v>
      </c>
      <c r="H1645" s="22">
        <v>282.9282</v>
      </c>
      <c r="I1645">
        <f t="shared" si="50"/>
        <v>-8.658691010898778E-5</v>
      </c>
      <c r="J1645" s="23">
        <v>43257</v>
      </c>
      <c r="K1645" s="22">
        <v>544.95820000000003</v>
      </c>
      <c r="L1645">
        <f t="shared" si="50"/>
        <v>1.37827728553086E-4</v>
      </c>
      <c r="M1645" s="23">
        <v>43224</v>
      </c>
      <c r="N1645" s="22">
        <v>749.88919999999996</v>
      </c>
      <c r="O1645">
        <f t="shared" si="51"/>
        <v>-1.4346727879377408E-4</v>
      </c>
    </row>
    <row r="1646" spans="7:15" x14ac:dyDescent="0.25">
      <c r="G1646" s="23">
        <v>43258</v>
      </c>
      <c r="H1646" s="22">
        <v>282.85910000000001</v>
      </c>
      <c r="I1646">
        <f t="shared" si="50"/>
        <v>-2.442315753607982E-4</v>
      </c>
      <c r="J1646" s="23">
        <v>43258</v>
      </c>
      <c r="K1646" s="22">
        <v>545.09860000000003</v>
      </c>
      <c r="L1646">
        <f t="shared" si="50"/>
        <v>2.5763443875148617E-4</v>
      </c>
      <c r="M1646" s="23">
        <v>43227</v>
      </c>
      <c r="N1646" s="22">
        <v>749.89800000000002</v>
      </c>
      <c r="O1646">
        <f t="shared" si="51"/>
        <v>1.1735066993923127E-5</v>
      </c>
    </row>
    <row r="1647" spans="7:15" x14ac:dyDescent="0.25">
      <c r="G1647" s="23">
        <v>43259</v>
      </c>
      <c r="H1647" s="22">
        <v>282.89260000000002</v>
      </c>
      <c r="I1647">
        <f t="shared" si="50"/>
        <v>1.1843352397011842E-4</v>
      </c>
      <c r="J1647" s="23">
        <v>43259</v>
      </c>
      <c r="K1647" s="22">
        <v>545.28499999999997</v>
      </c>
      <c r="L1647">
        <f t="shared" si="50"/>
        <v>3.4195648273538382E-4</v>
      </c>
      <c r="M1647" s="23">
        <v>43228</v>
      </c>
      <c r="N1647" s="22">
        <v>750.92520000000002</v>
      </c>
      <c r="O1647">
        <f t="shared" si="51"/>
        <v>1.3697862909356484E-3</v>
      </c>
    </row>
    <row r="1648" spans="7:15" x14ac:dyDescent="0.25">
      <c r="G1648" s="23">
        <v>43262</v>
      </c>
      <c r="H1648" s="22">
        <v>282.86439999999999</v>
      </c>
      <c r="I1648">
        <f t="shared" si="50"/>
        <v>-9.9684473895855774E-5</v>
      </c>
      <c r="J1648" s="23">
        <v>43262</v>
      </c>
      <c r="K1648" s="22">
        <v>545.41</v>
      </c>
      <c r="L1648">
        <f t="shared" si="50"/>
        <v>2.2923792145390642E-4</v>
      </c>
      <c r="M1648" s="23">
        <v>43229</v>
      </c>
      <c r="N1648" s="22">
        <v>751.98770000000002</v>
      </c>
      <c r="O1648">
        <f t="shared" si="51"/>
        <v>1.4149212198497629E-3</v>
      </c>
    </row>
    <row r="1649" spans="7:15" x14ac:dyDescent="0.25">
      <c r="G1649" s="23">
        <v>43263</v>
      </c>
      <c r="H1649" s="22">
        <v>283.10750000000002</v>
      </c>
      <c r="I1649">
        <f t="shared" si="50"/>
        <v>8.594223946174484E-4</v>
      </c>
      <c r="J1649" s="23">
        <v>43263</v>
      </c>
      <c r="K1649" s="22">
        <v>545.54409999999996</v>
      </c>
      <c r="L1649">
        <f t="shared" si="50"/>
        <v>2.458700793896984E-4</v>
      </c>
      <c r="M1649" s="23">
        <v>43230</v>
      </c>
      <c r="N1649" s="22">
        <v>752.00300000000004</v>
      </c>
      <c r="O1649">
        <f t="shared" si="51"/>
        <v>2.0346077469035606E-5</v>
      </c>
    </row>
    <row r="1650" spans="7:15" x14ac:dyDescent="0.25">
      <c r="G1650" s="23">
        <v>43264</v>
      </c>
      <c r="H1650" s="22">
        <v>283.09969999999998</v>
      </c>
      <c r="I1650">
        <f t="shared" si="50"/>
        <v>-2.7551371828860027E-5</v>
      </c>
      <c r="J1650" s="23">
        <v>43264</v>
      </c>
      <c r="K1650" s="22">
        <v>545.63509999999997</v>
      </c>
      <c r="L1650">
        <f t="shared" si="50"/>
        <v>1.6680594657692005E-4</v>
      </c>
      <c r="M1650" s="23">
        <v>43231</v>
      </c>
      <c r="N1650" s="22">
        <v>752.29880000000003</v>
      </c>
      <c r="O1650">
        <f t="shared" si="51"/>
        <v>3.9334949461644619E-4</v>
      </c>
    </row>
    <row r="1651" spans="7:15" x14ac:dyDescent="0.25">
      <c r="G1651" s="23">
        <v>43265</v>
      </c>
      <c r="H1651" s="22">
        <v>282.79840000000002</v>
      </c>
      <c r="I1651">
        <f t="shared" si="50"/>
        <v>-1.0642893651953145E-3</v>
      </c>
      <c r="J1651" s="23">
        <v>43265</v>
      </c>
      <c r="K1651" s="22">
        <v>545.69989999999996</v>
      </c>
      <c r="L1651">
        <f t="shared" si="50"/>
        <v>1.1876068823291064E-4</v>
      </c>
      <c r="M1651" s="23">
        <v>43234</v>
      </c>
      <c r="N1651" s="22">
        <v>751.75279999999998</v>
      </c>
      <c r="O1651">
        <f t="shared" si="51"/>
        <v>-7.2577544986118792E-4</v>
      </c>
    </row>
    <row r="1652" spans="7:15" x14ac:dyDescent="0.25">
      <c r="G1652" s="23">
        <v>43266</v>
      </c>
      <c r="H1652" s="22">
        <v>282.7944</v>
      </c>
      <c r="I1652">
        <f t="shared" si="50"/>
        <v>-1.4144351594747029E-5</v>
      </c>
      <c r="J1652" s="23">
        <v>43266</v>
      </c>
      <c r="K1652" s="22">
        <v>545.77980000000002</v>
      </c>
      <c r="L1652">
        <f t="shared" si="50"/>
        <v>1.4641747231403102E-4</v>
      </c>
      <c r="M1652" s="23">
        <v>43235</v>
      </c>
      <c r="N1652" s="22">
        <v>748.32190000000003</v>
      </c>
      <c r="O1652">
        <f t="shared" si="51"/>
        <v>-4.5638672712624562E-3</v>
      </c>
    </row>
    <row r="1653" spans="7:15" x14ac:dyDescent="0.25">
      <c r="G1653" s="23">
        <v>43269</v>
      </c>
      <c r="H1653" s="22">
        <v>282.87110000000001</v>
      </c>
      <c r="I1653">
        <f t="shared" si="50"/>
        <v>2.7122177808336367E-4</v>
      </c>
      <c r="J1653" s="23">
        <v>43269</v>
      </c>
      <c r="K1653" s="22">
        <v>546.09780000000001</v>
      </c>
      <c r="L1653">
        <f t="shared" si="50"/>
        <v>5.8265256427580958E-4</v>
      </c>
      <c r="M1653" s="23">
        <v>43236</v>
      </c>
      <c r="N1653" s="22">
        <v>740.51499999999999</v>
      </c>
      <c r="O1653">
        <f t="shared" si="51"/>
        <v>-1.0432542466016326E-2</v>
      </c>
    </row>
    <row r="1654" spans="7:15" x14ac:dyDescent="0.25">
      <c r="G1654" s="23">
        <v>43270</v>
      </c>
      <c r="H1654" s="22">
        <v>282.88</v>
      </c>
      <c r="I1654">
        <f t="shared" si="50"/>
        <v>3.1463093967509792E-5</v>
      </c>
      <c r="J1654" s="23">
        <v>43270</v>
      </c>
      <c r="K1654" s="22">
        <v>546.48860000000002</v>
      </c>
      <c r="L1654">
        <f t="shared" si="50"/>
        <v>7.1562273277803179E-4</v>
      </c>
      <c r="M1654" s="23">
        <v>43237</v>
      </c>
      <c r="N1654" s="22">
        <v>740.60839999999996</v>
      </c>
      <c r="O1654">
        <f t="shared" si="51"/>
        <v>1.2612843764125969E-4</v>
      </c>
    </row>
    <row r="1655" spans="7:15" x14ac:dyDescent="0.25">
      <c r="G1655" s="23">
        <v>43271</v>
      </c>
      <c r="H1655" s="22">
        <v>282.86989999999997</v>
      </c>
      <c r="I1655">
        <f t="shared" si="50"/>
        <v>-3.5704185520457621E-5</v>
      </c>
      <c r="J1655" s="23">
        <v>43271</v>
      </c>
      <c r="K1655" s="22">
        <v>546.53729999999996</v>
      </c>
      <c r="L1655">
        <f t="shared" si="50"/>
        <v>8.9114393237110789E-5</v>
      </c>
      <c r="M1655" s="23">
        <v>43238</v>
      </c>
      <c r="N1655" s="22">
        <v>740.71820000000002</v>
      </c>
      <c r="O1655">
        <f t="shared" si="51"/>
        <v>1.4825648750416143E-4</v>
      </c>
    </row>
    <row r="1656" spans="7:15" x14ac:dyDescent="0.25">
      <c r="G1656" s="23">
        <v>43272</v>
      </c>
      <c r="H1656" s="22">
        <v>286.41759999999999</v>
      </c>
      <c r="I1656">
        <f t="shared" si="50"/>
        <v>1.2541808089160389E-2</v>
      </c>
      <c r="J1656" s="23">
        <v>43272</v>
      </c>
      <c r="K1656" s="22">
        <v>546.64210000000003</v>
      </c>
      <c r="L1656">
        <f t="shared" si="50"/>
        <v>1.9175269464688505E-4</v>
      </c>
      <c r="M1656" s="23">
        <v>43241</v>
      </c>
      <c r="N1656" s="22">
        <v>740.87519999999995</v>
      </c>
      <c r="O1656">
        <f t="shared" si="51"/>
        <v>2.1195644983462714E-4</v>
      </c>
    </row>
    <row r="1657" spans="7:15" x14ac:dyDescent="0.25">
      <c r="G1657" s="23">
        <v>43273</v>
      </c>
      <c r="H1657" s="22">
        <v>286.5317</v>
      </c>
      <c r="I1657">
        <f t="shared" si="50"/>
        <v>3.9836937394910343E-4</v>
      </c>
      <c r="J1657" s="23">
        <v>43273</v>
      </c>
      <c r="K1657" s="22">
        <v>547.14120000000003</v>
      </c>
      <c r="L1657">
        <f t="shared" si="50"/>
        <v>9.1302883550326008E-4</v>
      </c>
      <c r="M1657" s="23">
        <v>43242</v>
      </c>
      <c r="N1657" s="22">
        <v>740.76869999999997</v>
      </c>
      <c r="O1657">
        <f t="shared" si="51"/>
        <v>-1.4374890669843765E-4</v>
      </c>
    </row>
    <row r="1658" spans="7:15" x14ac:dyDescent="0.25">
      <c r="G1658" s="23">
        <v>43276</v>
      </c>
      <c r="H1658" s="22">
        <v>286.46230000000003</v>
      </c>
      <c r="I1658">
        <f t="shared" si="50"/>
        <v>-2.4220705771815787E-4</v>
      </c>
      <c r="J1658" s="23">
        <v>43276</v>
      </c>
      <c r="K1658" s="22">
        <v>547.37639999999999</v>
      </c>
      <c r="L1658">
        <f t="shared" si="50"/>
        <v>4.2987075365541472E-4</v>
      </c>
      <c r="M1658" s="23">
        <v>43243</v>
      </c>
      <c r="N1658" s="22">
        <v>740.78099999999995</v>
      </c>
      <c r="O1658">
        <f t="shared" si="51"/>
        <v>1.6604373267892214E-5</v>
      </c>
    </row>
    <row r="1659" spans="7:15" x14ac:dyDescent="0.25">
      <c r="G1659" s="23">
        <v>43277</v>
      </c>
      <c r="H1659" s="22">
        <v>286.47179999999997</v>
      </c>
      <c r="I1659">
        <f t="shared" si="50"/>
        <v>3.3163177143968881E-5</v>
      </c>
      <c r="J1659" s="23">
        <v>43277</v>
      </c>
      <c r="K1659" s="22">
        <v>550.0231</v>
      </c>
      <c r="L1659">
        <f t="shared" si="50"/>
        <v>4.835246824671291E-3</v>
      </c>
      <c r="M1659" s="23">
        <v>43244</v>
      </c>
      <c r="N1659" s="22">
        <v>740.82159999999999</v>
      </c>
      <c r="O1659">
        <f t="shared" si="51"/>
        <v>5.4807021238501008E-5</v>
      </c>
    </row>
    <row r="1660" spans="7:15" x14ac:dyDescent="0.25">
      <c r="G1660" s="22"/>
      <c r="H1660" s="22"/>
      <c r="M1660" s="23">
        <v>43245</v>
      </c>
      <c r="N1660" s="22">
        <v>740.85559999999998</v>
      </c>
      <c r="O1660">
        <f t="shared" si="51"/>
        <v>4.5894990102768318E-5</v>
      </c>
    </row>
    <row r="1661" spans="7:15" x14ac:dyDescent="0.25">
      <c r="M1661" s="23">
        <v>43248</v>
      </c>
      <c r="N1661" s="22">
        <v>740.85559999999998</v>
      </c>
      <c r="O1661">
        <f t="shared" si="51"/>
        <v>0</v>
      </c>
    </row>
    <row r="1662" spans="7:15" x14ac:dyDescent="0.25">
      <c r="M1662" s="23">
        <v>43249</v>
      </c>
      <c r="N1662" s="22">
        <v>741.27300000000002</v>
      </c>
      <c r="O1662">
        <f t="shared" si="51"/>
        <v>5.6340263878684738E-4</v>
      </c>
    </row>
    <row r="1663" spans="7:15" x14ac:dyDescent="0.25">
      <c r="M1663" s="23">
        <v>43250</v>
      </c>
      <c r="N1663" s="22">
        <v>740.71429999999998</v>
      </c>
      <c r="O1663">
        <f t="shared" si="51"/>
        <v>-7.5370342640301846E-4</v>
      </c>
    </row>
    <row r="1664" spans="7:15" x14ac:dyDescent="0.25">
      <c r="M1664" s="23">
        <v>43251</v>
      </c>
      <c r="N1664" s="22">
        <v>745.8202</v>
      </c>
      <c r="O1664">
        <f t="shared" si="51"/>
        <v>6.8932110531685353E-3</v>
      </c>
    </row>
    <row r="1665" spans="13:15" x14ac:dyDescent="0.25">
      <c r="M1665" s="23">
        <v>43252</v>
      </c>
      <c r="N1665" s="22">
        <v>745.9873</v>
      </c>
      <c r="O1665">
        <f t="shared" si="51"/>
        <v>2.240486379960771E-4</v>
      </c>
    </row>
    <row r="1666" spans="13:15" x14ac:dyDescent="0.25">
      <c r="M1666" s="23">
        <v>43255</v>
      </c>
      <c r="N1666" s="22">
        <v>746.53309999999999</v>
      </c>
      <c r="O1666">
        <f t="shared" si="51"/>
        <v>7.3164784440704622E-4</v>
      </c>
    </row>
    <row r="1667" spans="13:15" x14ac:dyDescent="0.25">
      <c r="M1667" s="23">
        <v>43256</v>
      </c>
      <c r="N1667" s="22">
        <v>747.09990000000005</v>
      </c>
      <c r="O1667">
        <f t="shared" si="51"/>
        <v>7.5924295922047413E-4</v>
      </c>
    </row>
    <row r="1668" spans="13:15" x14ac:dyDescent="0.25">
      <c r="M1668" s="23">
        <v>43257</v>
      </c>
      <c r="N1668" s="22">
        <v>748.08410000000003</v>
      </c>
      <c r="O1668">
        <f t="shared" ref="O1668:O1682" si="52">N1668/N1667-1</f>
        <v>1.3173606367768986E-3</v>
      </c>
    </row>
    <row r="1669" spans="13:15" x14ac:dyDescent="0.25">
      <c r="M1669" s="23">
        <v>43258</v>
      </c>
      <c r="N1669" s="22">
        <v>748.11969999999997</v>
      </c>
      <c r="O1669">
        <f t="shared" si="52"/>
        <v>4.7588232392481444E-5</v>
      </c>
    </row>
    <row r="1670" spans="13:15" x14ac:dyDescent="0.25">
      <c r="M1670" s="23">
        <v>43259</v>
      </c>
      <c r="N1670" s="22">
        <v>749.57590000000005</v>
      </c>
      <c r="O1670">
        <f t="shared" si="52"/>
        <v>1.9464799550126255E-3</v>
      </c>
    </row>
    <row r="1671" spans="13:15" x14ac:dyDescent="0.25">
      <c r="M1671" s="23">
        <v>43262</v>
      </c>
      <c r="N1671" s="22">
        <v>749.6653</v>
      </c>
      <c r="O1671">
        <f t="shared" si="52"/>
        <v>1.1926744176271598E-4</v>
      </c>
    </row>
    <row r="1672" spans="13:15" x14ac:dyDescent="0.25">
      <c r="M1672" s="23">
        <v>43263</v>
      </c>
      <c r="N1672" s="22">
        <v>749.67280000000005</v>
      </c>
      <c r="O1672">
        <f t="shared" si="52"/>
        <v>1.000446465915239E-5</v>
      </c>
    </row>
    <row r="1673" spans="13:15" x14ac:dyDescent="0.25">
      <c r="M1673" s="23">
        <v>43264</v>
      </c>
      <c r="N1673" s="22">
        <v>749.78070000000002</v>
      </c>
      <c r="O1673">
        <f t="shared" si="52"/>
        <v>1.4392945829166948E-4</v>
      </c>
    </row>
    <row r="1674" spans="13:15" x14ac:dyDescent="0.25">
      <c r="M1674" s="23">
        <v>43265</v>
      </c>
      <c r="N1674" s="22">
        <v>749.82079999999996</v>
      </c>
      <c r="O1674">
        <f t="shared" si="52"/>
        <v>5.3482304892549237E-5</v>
      </c>
    </row>
    <row r="1675" spans="13:15" x14ac:dyDescent="0.25">
      <c r="M1675" s="23">
        <v>43266</v>
      </c>
      <c r="N1675" s="22">
        <v>749.85559999999998</v>
      </c>
      <c r="O1675">
        <f t="shared" si="52"/>
        <v>4.6411089156261909E-5</v>
      </c>
    </row>
    <row r="1676" spans="13:15" x14ac:dyDescent="0.25">
      <c r="M1676" s="23">
        <v>43269</v>
      </c>
      <c r="N1676" s="22">
        <v>750.60519999999997</v>
      </c>
      <c r="O1676">
        <f t="shared" si="52"/>
        <v>9.9965913437194409E-4</v>
      </c>
    </row>
    <row r="1677" spans="13:15" x14ac:dyDescent="0.25">
      <c r="M1677" s="23">
        <v>43270</v>
      </c>
      <c r="N1677" s="22">
        <v>750.54750000000001</v>
      </c>
      <c r="O1677">
        <f t="shared" si="52"/>
        <v>-7.687130331623937E-5</v>
      </c>
    </row>
    <row r="1678" spans="13:15" x14ac:dyDescent="0.25">
      <c r="M1678" s="23">
        <v>43271</v>
      </c>
      <c r="N1678" s="22">
        <v>747.74429999999995</v>
      </c>
      <c r="O1678">
        <f t="shared" si="52"/>
        <v>-3.7348735423141655E-3</v>
      </c>
    </row>
    <row r="1679" spans="13:15" x14ac:dyDescent="0.25">
      <c r="M1679" s="23">
        <v>43272</v>
      </c>
      <c r="N1679" s="22">
        <v>747.9221</v>
      </c>
      <c r="O1679">
        <f t="shared" si="52"/>
        <v>2.3778181926625841E-4</v>
      </c>
    </row>
    <row r="1680" spans="13:15" x14ac:dyDescent="0.25">
      <c r="M1680" s="23">
        <v>43273</v>
      </c>
      <c r="N1680" s="22">
        <v>748.92399999999998</v>
      </c>
      <c r="O1680">
        <f t="shared" si="52"/>
        <v>1.3395780122020806E-3</v>
      </c>
    </row>
    <row r="1681" spans="13:15" x14ac:dyDescent="0.25">
      <c r="M1681" s="23">
        <v>43276</v>
      </c>
      <c r="N1681" s="22">
        <v>748.08029999999997</v>
      </c>
      <c r="O1681">
        <f t="shared" si="52"/>
        <v>-1.126549556430323E-3</v>
      </c>
    </row>
    <row r="1682" spans="13:15" x14ac:dyDescent="0.25">
      <c r="M1682" s="23">
        <v>43277</v>
      </c>
      <c r="N1682" s="22">
        <v>748.09500000000003</v>
      </c>
      <c r="O1682">
        <f t="shared" si="52"/>
        <v>1.9650296900097786E-5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Control</vt:lpstr>
      <vt:lpstr>BondNameColumn</vt:lpstr>
      <vt:lpstr>DateAsOf</vt:lpstr>
      <vt:lpstr>NCE_Column</vt:lpstr>
      <vt:lpstr>RED_Column</vt:lpstr>
      <vt:lpstr>RunAnchor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Pak Sum Chan</dc:creator>
  <cp:lastModifiedBy>Pak Sum Chan</cp:lastModifiedBy>
  <dcterms:created xsi:type="dcterms:W3CDTF">2018-07-05T15:37:48Z</dcterms:created>
  <dcterms:modified xsi:type="dcterms:W3CDTF">2018-07-11T09:09:02Z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05216edc-f249-4dd7-8d90-95007357bd9d</vt:lpwstr>
  </property>
</Properties>
</file>