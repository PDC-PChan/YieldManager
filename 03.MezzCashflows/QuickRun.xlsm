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32. Structuring\96. Pak Data\MezzCashflow\"/>
    </mc:Choice>
  </mc:AlternateContent>
  <xr:revisionPtr revIDLastSave="0" documentId="10_ncr:8100000_{1BD7AD1B-2FA7-46F7-B668-4028AD417A49}" xr6:coauthVersionLast="32" xr6:coauthVersionMax="33" xr10:uidLastSave="{00000000-0000-0000-0000-000000000000}"/>
  <bookViews>
    <workbookView xWindow="0" yWindow="0" windowWidth="19200" windowHeight="11670" xr2:uid="{8D5BBA24-DF58-4C1F-836E-B5995D380FDA}"/>
  </bookViews>
  <sheets>
    <sheet name="Main" sheetId="1" r:id="rId1"/>
    <sheet name="List" sheetId="3" r:id="rId2"/>
    <sheet name="Control" sheetId="2" r:id="rId3"/>
  </sheets>
  <definedNames>
    <definedName name="AsOfDate">Main!$C$4</definedName>
    <definedName name="CallDate">Main!$C$3</definedName>
    <definedName name="CleanPrice">Main!$C$10</definedName>
    <definedName name="CurveDate">Main!$C$5</definedName>
    <definedName name="DealName">Main!$C$2</definedName>
    <definedName name="DirtyPrice">Main!$C$11</definedName>
    <definedName name="SetDM">Main!$C$8</definedName>
    <definedName name="StandardECOAdd">Control!$B$4</definedName>
    <definedName name="Yield">Main!$C$9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20" i="1" a="1"/>
  <c r="D20" i="1" l="1"/>
  <c r="D22" i="1"/>
  <c r="D24" i="1"/>
  <c r="D26" i="1"/>
  <c r="D28" i="1"/>
  <c r="D30" i="1"/>
  <c r="D32" i="1"/>
  <c r="D34" i="1"/>
  <c r="D36" i="1"/>
  <c r="D38" i="1"/>
  <c r="D40" i="1"/>
  <c r="D42" i="1"/>
  <c r="D44" i="1"/>
  <c r="E21" i="1"/>
  <c r="E29" i="1"/>
  <c r="E33" i="1"/>
  <c r="E43" i="1"/>
  <c r="F31" i="1"/>
  <c r="G27" i="1"/>
  <c r="G41" i="1"/>
  <c r="E20" i="1"/>
  <c r="E22" i="1"/>
  <c r="E24" i="1"/>
  <c r="E26" i="1"/>
  <c r="E28" i="1"/>
  <c r="E30" i="1"/>
  <c r="E32" i="1"/>
  <c r="E34" i="1"/>
  <c r="E36" i="1"/>
  <c r="E38" i="1"/>
  <c r="E40" i="1"/>
  <c r="E42" i="1"/>
  <c r="E44" i="1"/>
  <c r="D43" i="1"/>
  <c r="E25" i="1"/>
  <c r="E37" i="1"/>
  <c r="F27" i="1"/>
  <c r="F41" i="1"/>
  <c r="G31" i="1"/>
  <c r="G39" i="1"/>
  <c r="F20" i="1"/>
  <c r="F22" i="1"/>
  <c r="F24" i="1"/>
  <c r="F26" i="1"/>
  <c r="F28" i="1"/>
  <c r="F30" i="1"/>
  <c r="F32" i="1"/>
  <c r="F34" i="1"/>
  <c r="F36" i="1"/>
  <c r="F38" i="1"/>
  <c r="F40" i="1"/>
  <c r="F42" i="1"/>
  <c r="F44" i="1"/>
  <c r="D41" i="1"/>
  <c r="E23" i="1"/>
  <c r="E35" i="1"/>
  <c r="E45" i="1"/>
  <c r="F33" i="1"/>
  <c r="F39" i="1"/>
  <c r="G25" i="1"/>
  <c r="G37" i="1"/>
  <c r="G20" i="1"/>
  <c r="G22" i="1"/>
  <c r="G24" i="1"/>
  <c r="G26" i="1"/>
  <c r="G28" i="1"/>
  <c r="G30" i="1"/>
  <c r="G32" i="1"/>
  <c r="G34" i="1"/>
  <c r="G36" i="1"/>
  <c r="G38" i="1"/>
  <c r="G40" i="1"/>
  <c r="G42" i="1"/>
  <c r="G44" i="1"/>
  <c r="D37" i="1"/>
  <c r="D45" i="1"/>
  <c r="E31" i="1"/>
  <c r="E39" i="1"/>
  <c r="F25" i="1"/>
  <c r="F35" i="1"/>
  <c r="F45" i="1"/>
  <c r="G23" i="1"/>
  <c r="G33" i="1"/>
  <c r="G45" i="1"/>
  <c r="D21" i="1"/>
  <c r="D23" i="1"/>
  <c r="D25" i="1"/>
  <c r="D27" i="1"/>
  <c r="D29" i="1"/>
  <c r="D31" i="1"/>
  <c r="D33" i="1"/>
  <c r="D35" i="1"/>
  <c r="D39" i="1"/>
  <c r="E27" i="1"/>
  <c r="E41" i="1"/>
  <c r="F37" i="1"/>
  <c r="F43" i="1"/>
  <c r="G21" i="1"/>
  <c r="G35" i="1"/>
  <c r="F21" i="1"/>
  <c r="F23" i="1"/>
  <c r="F29" i="1"/>
  <c r="G29" i="1"/>
  <c r="G43" i="1"/>
  <c r="D2" i="1"/>
  <c r="H21" i="1" l="1"/>
  <c r="I21" i="1" s="1"/>
  <c r="J21" i="1"/>
  <c r="H22" i="1"/>
  <c r="H23" i="1" s="1"/>
  <c r="I23" i="1" s="1"/>
  <c r="H24" i="1" l="1"/>
  <c r="H25" i="1" s="1"/>
  <c r="I25" i="1" s="1"/>
  <c r="J23" i="1"/>
  <c r="I22" i="1"/>
  <c r="J22" i="1"/>
  <c r="I24" i="1" l="1"/>
  <c r="J24" i="1"/>
  <c r="H26" i="1"/>
  <c r="I26" i="1" s="1"/>
  <c r="J25" i="1"/>
  <c r="H27" i="1" l="1"/>
  <c r="J27" i="1" s="1"/>
  <c r="J26" i="1"/>
  <c r="I27" i="1" l="1"/>
  <c r="H28" i="1"/>
  <c r="J28" i="1" s="1"/>
  <c r="H29" i="1" l="1"/>
  <c r="J29" i="1" s="1"/>
  <c r="I28" i="1"/>
  <c r="I29" i="1" l="1"/>
  <c r="H30" i="1"/>
  <c r="J30" i="1" s="1"/>
  <c r="H31" i="1" l="1"/>
  <c r="J31" i="1" s="1"/>
  <c r="I30" i="1"/>
  <c r="I31" i="1" l="1"/>
  <c r="H32" i="1"/>
  <c r="J32" i="1" s="1"/>
  <c r="H33" i="1" l="1"/>
  <c r="J33" i="1" s="1"/>
  <c r="I32" i="1"/>
  <c r="I33" i="1" l="1"/>
  <c r="H34" i="1"/>
  <c r="J34" i="1" s="1"/>
  <c r="H35" i="1" l="1"/>
  <c r="J35" i="1" s="1"/>
  <c r="I34" i="1"/>
  <c r="H36" i="1" l="1"/>
  <c r="J36" i="1" s="1"/>
  <c r="I35" i="1"/>
  <c r="I36" i="1" l="1"/>
  <c r="H37" i="1"/>
  <c r="J37" i="1" s="1"/>
  <c r="H38" i="1" l="1"/>
  <c r="J38" i="1" s="1"/>
  <c r="I37" i="1"/>
  <c r="I38" i="1" l="1"/>
  <c r="H39" i="1"/>
  <c r="J39" i="1" s="1"/>
  <c r="I39" i="1" l="1"/>
  <c r="H40" i="1"/>
  <c r="J40" i="1" s="1"/>
  <c r="H41" i="1" l="1"/>
  <c r="J41" i="1" s="1"/>
  <c r="I40" i="1"/>
  <c r="I41" i="1"/>
  <c r="H42" i="1"/>
  <c r="J42" i="1" s="1"/>
  <c r="I42" i="1" l="1"/>
  <c r="H43" i="1"/>
  <c r="J43" i="1" s="1"/>
  <c r="H44" i="1" l="1"/>
  <c r="J44" i="1" s="1"/>
  <c r="I43" i="1"/>
  <c r="I44" i="1" l="1"/>
  <c r="H45" i="1"/>
  <c r="I45" i="1" s="1"/>
  <c r="C10" i="1" l="1"/>
  <c r="J45" i="1"/>
  <c r="C11" i="1" a="1"/>
  <c r="C11" i="1" l="1"/>
</calcChain>
</file>

<file path=xl/sharedStrings.xml><?xml version="1.0" encoding="utf-8"?>
<sst xmlns="http://schemas.openxmlformats.org/spreadsheetml/2006/main" count="34" uniqueCount="33">
  <si>
    <t>Deal ID:</t>
  </si>
  <si>
    <t>Call Date:</t>
  </si>
  <si>
    <t>Curve Date:</t>
  </si>
  <si>
    <t>Standard .ECO File Address:</t>
  </si>
  <si>
    <t>Z:\32. Structuring\96. Pak Data\MezzCashflow\Config\Standard.ECO</t>
  </si>
  <si>
    <t>ScenFile:</t>
  </si>
  <si>
    <t>SCEN CDONET| Z:\32. Structuring\96. Pak Data\MezzCashflow\Config\Standard.ECO</t>
  </si>
  <si>
    <t>Yield:</t>
  </si>
  <si>
    <t>As Of Date:</t>
  </si>
  <si>
    <t>Date2</t>
  </si>
  <si>
    <t>Dirty</t>
  </si>
  <si>
    <t>Clean</t>
  </si>
  <si>
    <t>Clean Price:</t>
  </si>
  <si>
    <t>Dirty Price:</t>
  </si>
  <si>
    <t>SHACKLE3.FR</t>
  </si>
  <si>
    <t>Swap Rate:</t>
  </si>
  <si>
    <t>DM:</t>
  </si>
  <si>
    <t>CW_15-I.E</t>
  </si>
  <si>
    <t>HALC13-1.D</t>
  </si>
  <si>
    <t>MRTHN10.D</t>
  </si>
  <si>
    <t>OZLM_12.D</t>
  </si>
  <si>
    <t>TCWR13-1.DR</t>
  </si>
  <si>
    <t>VENT_14.ER</t>
  </si>
  <si>
    <t>DealID</t>
  </si>
  <si>
    <t>CallDate</t>
  </si>
  <si>
    <t>AsOfDate</t>
  </si>
  <si>
    <t>CurveDate</t>
  </si>
  <si>
    <t>CMBLDPK.ER</t>
  </si>
  <si>
    <t>Yield</t>
  </si>
  <si>
    <t>DM</t>
  </si>
  <si>
    <t>Price</t>
  </si>
  <si>
    <t>Run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</si>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</sst>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%"/>
    <numFmt numFmtId="166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0" xfId="1" applyNumberFormat="1" applyFont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164" fontId="2" fillId="0" borderId="0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2" applyNumberFormat="1" applyFont="1"/>
    <xf numFmtId="10" fontId="0" fillId="0" borderId="0" xfId="2" applyNumberFormat="1" applyFont="1"/>
    <xf numFmtId="0" fontId="0" fillId="0" borderId="0" xfId="0" applyAlignment="1">
      <alignment vertical="center" wrapText="1"/>
    </xf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35181387-862A-4384-8D7D-C93034BA18A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sa.exceladdin.rtdserver">
      <tp t="s">
        <v>Venture XIV CLO Ltd.</v>
        <stp/>
        <stp>1f02a225-eeea-4a95-a963-29ecba49a274</stp>
        <stp>718df648611b17d277c8b3021087a62b</stp>
        <stp>0</stp>
        <stp>0</stp>
        <stp>DealData</stp>
        <stp>VENT_14.ER</stp>
        <stp>1</stp>
        <stp>System.String#Name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Main!$M$7:$M$59</c:f>
              <c:numCache>
                <c:formatCode>m/d/yyyy</c:formatCode>
                <c:ptCount val="53"/>
              </c:numCache>
            </c:numRef>
          </c:cat>
          <c:val>
            <c:numRef>
              <c:f>Main!$N$7:$N$59</c:f>
              <c:numCache>
                <c:formatCode>0.00%</c:formatCode>
                <c:ptCount val="5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92-49B0-BAA6-0E747721F42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Main!$M$7:$M$59</c:f>
              <c:numCache>
                <c:formatCode>m/d/yyyy</c:formatCode>
                <c:ptCount val="53"/>
              </c:numCache>
            </c:numRef>
          </c:cat>
          <c:val>
            <c:numRef>
              <c:f>Main!$O$7:$O$59</c:f>
              <c:numCache>
                <c:formatCode>0.00%</c:formatCode>
                <c:ptCount val="5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92-49B0-BAA6-0E747721F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9134512"/>
        <c:axId val="909136152"/>
      </c:lineChart>
      <c:catAx>
        <c:axId val="909134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136152"/>
        <c:crosses val="autoZero"/>
        <c:auto val="1"/>
        <c:lblAlgn val="ctr"/>
        <c:lblOffset val="100"/>
        <c:noMultiLvlLbl val="0"/>
      </c:catAx>
      <c:valAx>
        <c:axId val="90913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13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57150</xdr:rowOff>
        </xdr:from>
        <xdr:to>
          <xdr:col>2</xdr:col>
          <xdr:colOff>371475</xdr:colOff>
          <xdr:row>13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 Econ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600075</xdr:colOff>
      <xdr:row>1</xdr:row>
      <xdr:rowOff>28575</xdr:rowOff>
    </xdr:from>
    <xdr:to>
      <xdr:col>13</xdr:col>
      <xdr:colOff>485775</xdr:colOff>
      <xdr:row>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137C-C3EB-4D92-A162-68AE8966F18A}">
  <sheetPr codeName="Sheet1"/>
  <dimension ref="A2:O59"/>
  <sheetViews>
    <sheetView tabSelected="1" workbookViewId="0">
      <selection activeCell="J22" sqref="J22"/>
    </sheetView>
  </sheetViews>
  <sheetFormatPr defaultRowHeight="15" x14ac:dyDescent="0.25"/>
  <cols>
    <col min="1" max="1" width="10.7109375" bestFit="1" customWidth="1"/>
    <col min="2" max="2" width="15.7109375" customWidth="1"/>
    <col min="3" max="3" width="18.28515625" customWidth="1"/>
    <col min="4" max="4" width="10.85546875" customWidth="1"/>
    <col min="5" max="8" width="13.7109375" customWidth="1"/>
    <col min="9" max="9" width="14.28515625" bestFit="1" customWidth="1"/>
    <col min="10" max="10" width="13.28515625" customWidth="1"/>
    <col min="13" max="13" width="10.7109375" bestFit="1" customWidth="1"/>
  </cols>
  <sheetData>
    <row r="2" spans="1:15" x14ac:dyDescent="0.25">
      <c r="B2" t="s">
        <v>0</v>
      </c>
      <c r="C2" s="4" t="s">
        <v>22</v>
      </c>
      <c r="D2" t="str">
        <f>_xll.WSA.ExcelAddIn.Functions.DealData(DealName,"Name")</f>
        <v>Venture XIV CLO Ltd.</v>
      </c>
    </row>
    <row r="3" spans="1:15" x14ac:dyDescent="0.25">
      <c r="A3" s="1"/>
      <c r="B3" t="s">
        <v>1</v>
      </c>
      <c r="C3" s="5">
        <v>43674</v>
      </c>
      <c r="E3" s="1"/>
      <c r="F3" s="2"/>
      <c r="G3" s="2"/>
      <c r="H3" s="2"/>
    </row>
    <row r="4" spans="1:15" x14ac:dyDescent="0.25">
      <c r="B4" t="s">
        <v>8</v>
      </c>
      <c r="C4" s="5">
        <v>43655</v>
      </c>
      <c r="E4" s="1"/>
      <c r="F4" s="2"/>
      <c r="G4" s="2"/>
      <c r="H4" s="2"/>
    </row>
    <row r="5" spans="1:15" x14ac:dyDescent="0.25">
      <c r="B5" t="s">
        <v>2</v>
      </c>
      <c r="C5" s="5">
        <v>43290</v>
      </c>
      <c r="E5" s="1"/>
      <c r="F5" s="2"/>
      <c r="G5" s="2"/>
      <c r="H5" s="2"/>
    </row>
    <row r="6" spans="1:15" x14ac:dyDescent="0.25">
      <c r="B6" t="s">
        <v>5</v>
      </c>
      <c r="C6" s="8" t="s">
        <v>6</v>
      </c>
      <c r="E6" s="1"/>
      <c r="F6" s="2"/>
      <c r="G6" s="2"/>
      <c r="H6" s="2"/>
      <c r="N6" s="13"/>
      <c r="O6" s="13"/>
    </row>
    <row r="7" spans="1:15" x14ac:dyDescent="0.25">
      <c r="B7" t="s">
        <v>15</v>
      </c>
      <c r="C7" s="12">
        <v>2.8660000000000001E-2</v>
      </c>
      <c r="E7" s="1"/>
      <c r="F7" s="2"/>
      <c r="G7" s="2"/>
      <c r="H7" s="2"/>
      <c r="M7" s="1"/>
      <c r="N7" s="14"/>
      <c r="O7" s="14"/>
    </row>
    <row r="8" spans="1:15" x14ac:dyDescent="0.25">
      <c r="B8" t="s">
        <v>16</v>
      </c>
      <c r="C8" s="12">
        <v>9.5727855649252985E-2</v>
      </c>
      <c r="E8" s="1"/>
      <c r="F8" s="2"/>
      <c r="G8" s="2"/>
      <c r="H8" s="2"/>
      <c r="M8" s="1"/>
      <c r="N8" s="14"/>
      <c r="O8" s="14"/>
    </row>
    <row r="9" spans="1:15" x14ac:dyDescent="0.25">
      <c r="B9" s="1" t="s">
        <v>7</v>
      </c>
      <c r="C9" s="12">
        <f>C7+SetDM</f>
        <v>0.12438785564925299</v>
      </c>
      <c r="E9" s="1"/>
      <c r="F9" s="2"/>
      <c r="G9" s="2"/>
      <c r="H9" s="2"/>
      <c r="M9" s="1"/>
      <c r="N9" s="14"/>
      <c r="O9" s="14"/>
    </row>
    <row r="10" spans="1:15" x14ac:dyDescent="0.25">
      <c r="B10" t="s">
        <v>12</v>
      </c>
      <c r="C10" s="7">
        <f>XNPV(Yield,I21:I45,H21:H45)/E21</f>
        <v>1.007740696003717</v>
      </c>
      <c r="E10" s="1"/>
      <c r="F10" s="2"/>
      <c r="G10" s="2"/>
      <c r="H10" s="2"/>
      <c r="M10" s="1"/>
      <c r="N10" s="14"/>
      <c r="O10" s="14"/>
    </row>
    <row r="11" spans="1:15" x14ac:dyDescent="0.25">
      <c r="B11" t="s">
        <v>13</v>
      </c>
      <c r="C11" s="7">
        <f t="array" ref="C11">C10+XNPV(Yield,I21:I45-J21:J45,H21:H45)/E21</f>
        <v>1.0288175486607245</v>
      </c>
      <c r="E11" s="1"/>
      <c r="F11" s="2"/>
      <c r="G11" s="2"/>
      <c r="H11" s="2"/>
      <c r="M11" s="1"/>
      <c r="N11" s="14"/>
      <c r="O11" s="14"/>
    </row>
    <row r="12" spans="1:15" x14ac:dyDescent="0.25">
      <c r="E12" s="1"/>
      <c r="F12" s="2"/>
      <c r="G12" s="2"/>
      <c r="H12" s="2"/>
      <c r="M12" s="1"/>
      <c r="N12" s="14"/>
      <c r="O12" s="14"/>
    </row>
    <row r="13" spans="1:15" x14ac:dyDescent="0.25">
      <c r="M13" s="1"/>
      <c r="N13" s="14"/>
      <c r="O13" s="14"/>
    </row>
    <row r="14" spans="1:15" x14ac:dyDescent="0.25">
      <c r="M14" s="1"/>
      <c r="N14" s="14"/>
      <c r="O14" s="14"/>
    </row>
    <row r="15" spans="1:15" x14ac:dyDescent="0.25">
      <c r="M15" s="1"/>
      <c r="N15" s="14"/>
      <c r="O15" s="14"/>
    </row>
    <row r="16" spans="1:15" x14ac:dyDescent="0.25">
      <c r="M16" s="1"/>
      <c r="N16" s="14"/>
      <c r="O16" s="14"/>
    </row>
    <row r="17" spans="4:15" x14ac:dyDescent="0.25">
      <c r="M17" s="1"/>
      <c r="N17" s="14"/>
      <c r="O17" s="14"/>
    </row>
    <row r="18" spans="4:15" x14ac:dyDescent="0.25">
      <c r="M18" s="1"/>
      <c r="N18" s="14"/>
      <c r="O18" s="14"/>
    </row>
    <row r="19" spans="4:15" x14ac:dyDescent="0.25">
      <c r="D19" s="6"/>
      <c r="E19" s="6"/>
      <c r="F19" s="6"/>
      <c r="G19" s="6"/>
      <c r="H19" s="6"/>
      <c r="I19" s="6"/>
      <c r="J19" s="6"/>
      <c r="M19" s="1"/>
      <c r="N19" s="14"/>
      <c r="O19" s="14"/>
    </row>
    <row r="20" spans="4:15" x14ac:dyDescent="0.25">
      <c r="D20" s="9" t="str">
        <f t="array" ref="D20:G45">_xll.WSA.ExcelAddIn.Functions.BondCashFlows("Sync-"&amp;DealName,C6, AsOfDate,"Dates,Balance,Interest,Principal", TRUE)</f>
        <v>Dates</v>
      </c>
      <c r="E20" s="10" t="str">
        <v>Balance</v>
      </c>
      <c r="F20" s="11" t="str">
        <v>Interest</v>
      </c>
      <c r="G20" s="11" t="str">
        <v>Principal</v>
      </c>
      <c r="H20" s="11" t="s">
        <v>9</v>
      </c>
      <c r="I20" s="9" t="s">
        <v>11</v>
      </c>
      <c r="J20" s="9" t="s">
        <v>10</v>
      </c>
      <c r="M20" s="1"/>
      <c r="N20" s="14"/>
      <c r="O20" s="14"/>
    </row>
    <row r="21" spans="4:15" x14ac:dyDescent="0.25">
      <c r="D21" s="1">
        <v>43249</v>
      </c>
      <c r="E21" s="2">
        <v>31750000</v>
      </c>
      <c r="F21" s="2">
        <v>0</v>
      </c>
      <c r="G21" s="2">
        <v>0</v>
      </c>
      <c r="H21" s="3">
        <f>IF(D21="","",MAX(D21,AsOfDate))</f>
        <v>43655</v>
      </c>
      <c r="I21" s="2">
        <f>IFERROR(IF(D21&lt;H21,0,F21+G21),0)</f>
        <v>0</v>
      </c>
      <c r="J21" s="2">
        <f t="shared" ref="J21:J26" si="0">IFERROR(F21*YEARFRAC(H20,H21,1)/YEARFRAC(D20,D21,1)+G21,0)</f>
        <v>0</v>
      </c>
      <c r="M21" s="1"/>
      <c r="N21" s="14"/>
      <c r="O21" s="14"/>
    </row>
    <row r="22" spans="4:15" x14ac:dyDescent="0.25">
      <c r="D22" s="1">
        <v>43705</v>
      </c>
      <c r="E22" s="2">
        <v>0</v>
      </c>
      <c r="F22" s="2">
        <v>763770.90916666656</v>
      </c>
      <c r="G22" s="2">
        <v>31750000</v>
      </c>
      <c r="H22" s="3">
        <f t="shared" ref="H22:H45" si="1">IF(D22="",H21,MAX(D22,AsOfDate))</f>
        <v>43705</v>
      </c>
      <c r="I22" s="2">
        <f t="shared" ref="I22:I45" si="2">IFERROR(IF(D22&lt;H22,0,F22+G22),0)</f>
        <v>32513770.909166668</v>
      </c>
      <c r="J22" s="2">
        <f t="shared" si="0"/>
        <v>31833746.810215645</v>
      </c>
      <c r="M22" s="1"/>
      <c r="N22" s="14"/>
      <c r="O22" s="14"/>
    </row>
    <row r="23" spans="4:15" x14ac:dyDescent="0.25">
      <c r="D23" s="1" t="str">
        <v/>
      </c>
      <c r="E23" s="2" t="str">
        <v/>
      </c>
      <c r="F23" s="2" t="str">
        <v/>
      </c>
      <c r="G23" s="2" t="str">
        <v/>
      </c>
      <c r="H23" s="3">
        <f t="shared" si="1"/>
        <v>43705</v>
      </c>
      <c r="I23" s="2">
        <f t="shared" si="2"/>
        <v>0</v>
      </c>
      <c r="J23" s="2">
        <f t="shared" si="0"/>
        <v>0</v>
      </c>
      <c r="M23" s="1"/>
      <c r="N23" s="14"/>
      <c r="O23" s="14"/>
    </row>
    <row r="24" spans="4:15" x14ac:dyDescent="0.25">
      <c r="D24" s="1" t="str">
        <v/>
      </c>
      <c r="E24" s="2" t="str">
        <v/>
      </c>
      <c r="F24" s="2" t="str">
        <v/>
      </c>
      <c r="G24" s="2" t="str">
        <v/>
      </c>
      <c r="H24" s="3">
        <f t="shared" si="1"/>
        <v>43705</v>
      </c>
      <c r="I24" s="2">
        <f t="shared" si="2"/>
        <v>0</v>
      </c>
      <c r="J24" s="2">
        <f t="shared" si="0"/>
        <v>0</v>
      </c>
      <c r="M24" s="1"/>
      <c r="N24" s="14"/>
      <c r="O24" s="14"/>
    </row>
    <row r="25" spans="4:15" x14ac:dyDescent="0.25">
      <c r="D25" s="1" t="str">
        <v/>
      </c>
      <c r="E25" s="2" t="str">
        <v/>
      </c>
      <c r="F25" s="2" t="str">
        <v/>
      </c>
      <c r="G25" s="2" t="str">
        <v/>
      </c>
      <c r="H25" s="3">
        <f t="shared" si="1"/>
        <v>43705</v>
      </c>
      <c r="I25" s="2">
        <f t="shared" si="2"/>
        <v>0</v>
      </c>
      <c r="J25" s="2">
        <f t="shared" si="0"/>
        <v>0</v>
      </c>
      <c r="M25" s="1"/>
      <c r="N25" s="14"/>
      <c r="O25" s="14"/>
    </row>
    <row r="26" spans="4:15" x14ac:dyDescent="0.25">
      <c r="D26" s="1" t="str">
        <v/>
      </c>
      <c r="E26" s="2" t="str">
        <v/>
      </c>
      <c r="F26" s="2" t="str">
        <v/>
      </c>
      <c r="G26" s="2" t="str">
        <v/>
      </c>
      <c r="H26" s="3">
        <f t="shared" si="1"/>
        <v>43705</v>
      </c>
      <c r="I26" s="2">
        <f t="shared" si="2"/>
        <v>0</v>
      </c>
      <c r="J26" s="2">
        <f t="shared" si="0"/>
        <v>0</v>
      </c>
      <c r="M26" s="1"/>
      <c r="N26" s="14"/>
      <c r="O26" s="14"/>
    </row>
    <row r="27" spans="4:15" x14ac:dyDescent="0.25">
      <c r="D27" s="1" t="str">
        <v/>
      </c>
      <c r="E27" s="2" t="str">
        <v/>
      </c>
      <c r="F27" s="2" t="str">
        <v/>
      </c>
      <c r="G27" s="2" t="str">
        <v/>
      </c>
      <c r="H27" s="3">
        <f t="shared" si="1"/>
        <v>43705</v>
      </c>
      <c r="I27" s="2">
        <f t="shared" si="2"/>
        <v>0</v>
      </c>
      <c r="J27" s="2">
        <f>IFERROR(F27*YEARFRAC(H26,H27,1)/YEARFRAC(D26,D27,1)+G27,0)</f>
        <v>0</v>
      </c>
      <c r="M27" s="1"/>
      <c r="N27" s="14"/>
      <c r="O27" s="14"/>
    </row>
    <row r="28" spans="4:15" x14ac:dyDescent="0.25">
      <c r="D28" s="1" t="str">
        <v/>
      </c>
      <c r="E28" s="2" t="str">
        <v/>
      </c>
      <c r="F28" s="2" t="str">
        <v/>
      </c>
      <c r="G28" s="2" t="str">
        <v/>
      </c>
      <c r="H28" s="3">
        <f t="shared" si="1"/>
        <v>43705</v>
      </c>
      <c r="I28" s="2">
        <f t="shared" si="2"/>
        <v>0</v>
      </c>
      <c r="J28" s="2">
        <f t="shared" ref="J28:J45" si="3">IFERROR(F28*YEARFRAC(H27,H28,1)/YEARFRAC(D27,D28,1)+G28,0)</f>
        <v>0</v>
      </c>
      <c r="M28" s="1"/>
      <c r="N28" s="14"/>
      <c r="O28" s="14"/>
    </row>
    <row r="29" spans="4:15" x14ac:dyDescent="0.25">
      <c r="D29" s="1" t="str">
        <v/>
      </c>
      <c r="E29" s="2" t="str">
        <v/>
      </c>
      <c r="F29" s="2" t="str">
        <v/>
      </c>
      <c r="G29" s="2" t="str">
        <v/>
      </c>
      <c r="H29" s="3">
        <f t="shared" si="1"/>
        <v>43705</v>
      </c>
      <c r="I29" s="2">
        <f t="shared" si="2"/>
        <v>0</v>
      </c>
      <c r="J29" s="2">
        <f t="shared" si="3"/>
        <v>0</v>
      </c>
      <c r="M29" s="1"/>
      <c r="N29" s="14"/>
      <c r="O29" s="14"/>
    </row>
    <row r="30" spans="4:15" x14ac:dyDescent="0.25">
      <c r="D30" s="1" t="str">
        <v/>
      </c>
      <c r="E30" s="2" t="str">
        <v/>
      </c>
      <c r="F30" s="2" t="str">
        <v/>
      </c>
      <c r="G30" s="2" t="str">
        <v/>
      </c>
      <c r="H30" s="3">
        <f t="shared" si="1"/>
        <v>43705</v>
      </c>
      <c r="I30" s="2">
        <f t="shared" si="2"/>
        <v>0</v>
      </c>
      <c r="J30" s="2">
        <f t="shared" si="3"/>
        <v>0</v>
      </c>
      <c r="M30" s="1"/>
      <c r="N30" s="14"/>
      <c r="O30" s="14"/>
    </row>
    <row r="31" spans="4:15" x14ac:dyDescent="0.25">
      <c r="D31" s="1" t="str">
        <v/>
      </c>
      <c r="E31" s="2" t="str">
        <v/>
      </c>
      <c r="F31" s="2" t="str">
        <v/>
      </c>
      <c r="G31" s="2" t="str">
        <v/>
      </c>
      <c r="H31" s="3">
        <f t="shared" si="1"/>
        <v>43705</v>
      </c>
      <c r="I31" s="2">
        <f t="shared" si="2"/>
        <v>0</v>
      </c>
      <c r="J31" s="2">
        <f t="shared" si="3"/>
        <v>0</v>
      </c>
      <c r="M31" s="1"/>
      <c r="N31" s="14"/>
      <c r="O31" s="14"/>
    </row>
    <row r="32" spans="4:15" x14ac:dyDescent="0.25">
      <c r="D32" s="1" t="str">
        <v/>
      </c>
      <c r="E32" s="2" t="str">
        <v/>
      </c>
      <c r="F32" s="2" t="str">
        <v/>
      </c>
      <c r="G32" s="2" t="str">
        <v/>
      </c>
      <c r="H32" s="3">
        <f t="shared" si="1"/>
        <v>43705</v>
      </c>
      <c r="I32" s="2">
        <f t="shared" si="2"/>
        <v>0</v>
      </c>
      <c r="J32" s="2">
        <f t="shared" si="3"/>
        <v>0</v>
      </c>
      <c r="M32" s="1"/>
      <c r="N32" s="14"/>
      <c r="O32" s="14"/>
    </row>
    <row r="33" spans="4:15" x14ac:dyDescent="0.25">
      <c r="D33" s="1" t="str">
        <v/>
      </c>
      <c r="E33" s="2" t="str">
        <v/>
      </c>
      <c r="F33" s="2" t="str">
        <v/>
      </c>
      <c r="G33" s="2" t="str">
        <v/>
      </c>
      <c r="H33" s="3">
        <f t="shared" si="1"/>
        <v>43705</v>
      </c>
      <c r="I33" s="2">
        <f t="shared" si="2"/>
        <v>0</v>
      </c>
      <c r="J33" s="2">
        <f t="shared" si="3"/>
        <v>0</v>
      </c>
      <c r="M33" s="1"/>
      <c r="N33" s="14"/>
      <c r="O33" s="14"/>
    </row>
    <row r="34" spans="4:15" x14ac:dyDescent="0.25">
      <c r="D34" s="1" t="str">
        <v/>
      </c>
      <c r="E34" s="2" t="str">
        <v/>
      </c>
      <c r="F34" s="2" t="str">
        <v/>
      </c>
      <c r="G34" s="2" t="str">
        <v/>
      </c>
      <c r="H34" s="3">
        <f t="shared" si="1"/>
        <v>43705</v>
      </c>
      <c r="I34" s="2">
        <f t="shared" si="2"/>
        <v>0</v>
      </c>
      <c r="J34" s="2">
        <f t="shared" si="3"/>
        <v>0</v>
      </c>
      <c r="M34" s="1"/>
      <c r="N34" s="14"/>
      <c r="O34" s="14"/>
    </row>
    <row r="35" spans="4:15" x14ac:dyDescent="0.25">
      <c r="D35" s="1" t="str">
        <v/>
      </c>
      <c r="E35" s="2" t="str">
        <v/>
      </c>
      <c r="F35" s="2" t="str">
        <v/>
      </c>
      <c r="G35" s="2" t="str">
        <v/>
      </c>
      <c r="H35" s="3">
        <f t="shared" si="1"/>
        <v>43705</v>
      </c>
      <c r="I35" s="2">
        <f t="shared" si="2"/>
        <v>0</v>
      </c>
      <c r="J35" s="2">
        <f t="shared" si="3"/>
        <v>0</v>
      </c>
      <c r="M35" s="1"/>
      <c r="N35" s="14"/>
      <c r="O35" s="14"/>
    </row>
    <row r="36" spans="4:15" x14ac:dyDescent="0.25">
      <c r="D36" s="1" t="str">
        <v/>
      </c>
      <c r="E36" s="2" t="str">
        <v/>
      </c>
      <c r="F36" s="2" t="str">
        <v/>
      </c>
      <c r="G36" s="2" t="str">
        <v/>
      </c>
      <c r="H36" s="3">
        <f t="shared" si="1"/>
        <v>43705</v>
      </c>
      <c r="I36" s="2">
        <f t="shared" si="2"/>
        <v>0</v>
      </c>
      <c r="J36" s="2">
        <f t="shared" si="3"/>
        <v>0</v>
      </c>
      <c r="M36" s="1"/>
      <c r="N36" s="14"/>
      <c r="O36" s="14"/>
    </row>
    <row r="37" spans="4:15" x14ac:dyDescent="0.25">
      <c r="D37" s="1" t="str">
        <v/>
      </c>
      <c r="E37" s="2" t="str">
        <v/>
      </c>
      <c r="F37" s="2" t="str">
        <v/>
      </c>
      <c r="G37" s="2" t="str">
        <v/>
      </c>
      <c r="H37" s="3">
        <f t="shared" si="1"/>
        <v>43705</v>
      </c>
      <c r="I37" s="2">
        <f t="shared" si="2"/>
        <v>0</v>
      </c>
      <c r="J37" s="2">
        <f t="shared" si="3"/>
        <v>0</v>
      </c>
      <c r="M37" s="1"/>
      <c r="N37" s="14"/>
      <c r="O37" s="14"/>
    </row>
    <row r="38" spans="4:15" x14ac:dyDescent="0.25">
      <c r="D38" s="1" t="str">
        <v/>
      </c>
      <c r="E38" s="2" t="str">
        <v/>
      </c>
      <c r="F38" s="2" t="str">
        <v/>
      </c>
      <c r="G38" s="2" t="str">
        <v/>
      </c>
      <c r="H38" s="3">
        <f t="shared" si="1"/>
        <v>43705</v>
      </c>
      <c r="I38" s="2">
        <f t="shared" si="2"/>
        <v>0</v>
      </c>
      <c r="J38" s="2">
        <f t="shared" si="3"/>
        <v>0</v>
      </c>
      <c r="M38" s="1"/>
      <c r="N38" s="14"/>
      <c r="O38" s="14"/>
    </row>
    <row r="39" spans="4:15" x14ac:dyDescent="0.25">
      <c r="D39" s="1" t="str">
        <v/>
      </c>
      <c r="E39" s="2" t="str">
        <v/>
      </c>
      <c r="F39" s="2" t="str">
        <v/>
      </c>
      <c r="G39" s="2" t="str">
        <v/>
      </c>
      <c r="H39" s="3">
        <f t="shared" si="1"/>
        <v>43705</v>
      </c>
      <c r="I39" s="2">
        <f t="shared" si="2"/>
        <v>0</v>
      </c>
      <c r="J39" s="2">
        <f t="shared" si="3"/>
        <v>0</v>
      </c>
      <c r="M39" s="1"/>
      <c r="N39" s="14"/>
      <c r="O39" s="14"/>
    </row>
    <row r="40" spans="4:15" x14ac:dyDescent="0.25">
      <c r="D40" s="1" t="str">
        <v/>
      </c>
      <c r="E40" s="2" t="str">
        <v/>
      </c>
      <c r="F40" s="2" t="str">
        <v/>
      </c>
      <c r="G40" s="2" t="str">
        <v/>
      </c>
      <c r="H40" s="3">
        <f t="shared" si="1"/>
        <v>43705</v>
      </c>
      <c r="I40" s="2">
        <f t="shared" si="2"/>
        <v>0</v>
      </c>
      <c r="J40" s="2">
        <f t="shared" si="3"/>
        <v>0</v>
      </c>
      <c r="M40" s="1"/>
      <c r="N40" s="14"/>
      <c r="O40" s="14"/>
    </row>
    <row r="41" spans="4:15" x14ac:dyDescent="0.25">
      <c r="D41" s="1" t="str">
        <v/>
      </c>
      <c r="E41" s="2" t="str">
        <v/>
      </c>
      <c r="F41" s="2" t="str">
        <v/>
      </c>
      <c r="G41" s="2" t="str">
        <v/>
      </c>
      <c r="H41" s="3">
        <f t="shared" si="1"/>
        <v>43705</v>
      </c>
      <c r="I41" s="2">
        <f t="shared" si="2"/>
        <v>0</v>
      </c>
      <c r="J41" s="2">
        <f t="shared" si="3"/>
        <v>0</v>
      </c>
      <c r="M41" s="1"/>
      <c r="N41" s="14"/>
      <c r="O41" s="14"/>
    </row>
    <row r="42" spans="4:15" x14ac:dyDescent="0.25">
      <c r="D42" s="1" t="str">
        <v/>
      </c>
      <c r="E42" s="2" t="str">
        <v/>
      </c>
      <c r="F42" s="2" t="str">
        <v/>
      </c>
      <c r="G42" s="2" t="str">
        <v/>
      </c>
      <c r="H42" s="3">
        <f t="shared" si="1"/>
        <v>43705</v>
      </c>
      <c r="I42" s="2">
        <f t="shared" si="2"/>
        <v>0</v>
      </c>
      <c r="J42" s="2">
        <f t="shared" si="3"/>
        <v>0</v>
      </c>
      <c r="M42" s="1"/>
      <c r="N42" s="14"/>
      <c r="O42" s="14"/>
    </row>
    <row r="43" spans="4:15" x14ac:dyDescent="0.25">
      <c r="D43" s="1" t="str">
        <v/>
      </c>
      <c r="E43" s="2" t="str">
        <v/>
      </c>
      <c r="F43" s="2" t="str">
        <v/>
      </c>
      <c r="G43" s="2" t="str">
        <v/>
      </c>
      <c r="H43" s="3">
        <f t="shared" si="1"/>
        <v>43705</v>
      </c>
      <c r="I43" s="2">
        <f t="shared" si="2"/>
        <v>0</v>
      </c>
      <c r="J43" s="2">
        <f t="shared" si="3"/>
        <v>0</v>
      </c>
      <c r="M43" s="1"/>
      <c r="N43" s="14"/>
      <c r="O43" s="14"/>
    </row>
    <row r="44" spans="4:15" x14ac:dyDescent="0.25">
      <c r="D44" s="1" t="str">
        <v/>
      </c>
      <c r="E44" s="2" t="str">
        <v/>
      </c>
      <c r="F44" s="2" t="str">
        <v/>
      </c>
      <c r="G44" s="2" t="str">
        <v/>
      </c>
      <c r="H44" s="3">
        <f t="shared" si="1"/>
        <v>43705</v>
      </c>
      <c r="I44" s="2">
        <f t="shared" si="2"/>
        <v>0</v>
      </c>
      <c r="J44" s="2">
        <f t="shared" si="3"/>
        <v>0</v>
      </c>
      <c r="M44" s="1"/>
      <c r="N44" s="14"/>
      <c r="O44" s="14"/>
    </row>
    <row r="45" spans="4:15" x14ac:dyDescent="0.25">
      <c r="D45" s="1" t="str">
        <v/>
      </c>
      <c r="E45" s="2" t="str">
        <v/>
      </c>
      <c r="F45" s="2" t="str">
        <v/>
      </c>
      <c r="G45" s="2" t="str">
        <v/>
      </c>
      <c r="H45" s="3">
        <f t="shared" si="1"/>
        <v>43705</v>
      </c>
      <c r="I45" s="2">
        <f t="shared" si="2"/>
        <v>0</v>
      </c>
      <c r="J45" s="2">
        <f t="shared" si="3"/>
        <v>0</v>
      </c>
      <c r="M45" s="1"/>
      <c r="N45" s="14"/>
      <c r="O45" s="14"/>
    </row>
    <row r="46" spans="4:15" x14ac:dyDescent="0.25">
      <c r="D46" s="1"/>
      <c r="E46" s="2"/>
      <c r="F46" s="2"/>
      <c r="G46" s="2"/>
      <c r="M46" s="1"/>
      <c r="N46" s="14"/>
      <c r="O46" s="14"/>
    </row>
    <row r="47" spans="4:15" x14ac:dyDescent="0.25">
      <c r="M47" s="1"/>
      <c r="N47" s="14"/>
      <c r="O47" s="14"/>
    </row>
    <row r="48" spans="4:15" x14ac:dyDescent="0.25">
      <c r="M48" s="1"/>
      <c r="N48" s="14"/>
      <c r="O48" s="14"/>
    </row>
    <row r="49" spans="13:15" x14ac:dyDescent="0.25">
      <c r="M49" s="1"/>
      <c r="N49" s="14"/>
      <c r="O49" s="14"/>
    </row>
    <row r="50" spans="13:15" x14ac:dyDescent="0.25">
      <c r="M50" s="1"/>
      <c r="N50" s="14"/>
      <c r="O50" s="14"/>
    </row>
    <row r="51" spans="13:15" x14ac:dyDescent="0.25">
      <c r="M51" s="1"/>
      <c r="N51" s="14"/>
      <c r="O51" s="14"/>
    </row>
    <row r="52" spans="13:15" x14ac:dyDescent="0.25">
      <c r="M52" s="1"/>
      <c r="N52" s="14"/>
      <c r="O52" s="14"/>
    </row>
    <row r="53" spans="13:15" x14ac:dyDescent="0.25">
      <c r="M53" s="1"/>
      <c r="N53" s="14"/>
      <c r="O53" s="14"/>
    </row>
    <row r="54" spans="13:15" x14ac:dyDescent="0.25">
      <c r="M54" s="1"/>
      <c r="N54" s="14"/>
      <c r="O54" s="14"/>
    </row>
    <row r="55" spans="13:15" x14ac:dyDescent="0.25">
      <c r="M55" s="1"/>
      <c r="N55" s="14"/>
      <c r="O55" s="14"/>
    </row>
    <row r="56" spans="13:15" x14ac:dyDescent="0.25">
      <c r="M56" s="1"/>
      <c r="N56" s="14"/>
      <c r="O56" s="14"/>
    </row>
    <row r="57" spans="13:15" x14ac:dyDescent="0.25">
      <c r="M57" s="1"/>
      <c r="N57" s="14"/>
      <c r="O57" s="14"/>
    </row>
    <row r="58" spans="13:15" x14ac:dyDescent="0.25">
      <c r="M58" s="1"/>
      <c r="N58" s="14"/>
      <c r="O58" s="14"/>
    </row>
    <row r="59" spans="13:15" x14ac:dyDescent="0.25">
      <c r="M59" s="1"/>
      <c r="N59" s="14"/>
      <c r="O59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Economy">
                <anchor moveWithCells="1" sizeWithCells="1">
                  <from>
                    <xdr:col>1</xdr:col>
                    <xdr:colOff>38100</xdr:colOff>
                    <xdr:row>12</xdr:row>
                    <xdr:rowOff>57150</xdr:rowOff>
                  </from>
                  <to>
                    <xdr:col>2</xdr:col>
                    <xdr:colOff>371475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0311-8BAD-443D-80C6-75F85A2F5AFB}">
  <sheetPr codeName="Sheet3"/>
  <dimension ref="B3:J103"/>
  <sheetViews>
    <sheetView workbookViewId="0">
      <selection activeCell="H17" sqref="H17"/>
    </sheetView>
  </sheetViews>
  <sheetFormatPr defaultRowHeight="15" x14ac:dyDescent="0.25"/>
  <cols>
    <col min="4" max="4" width="17.7109375" customWidth="1"/>
    <col min="5" max="7" width="15.42578125" customWidth="1"/>
    <col min="8" max="9" width="12" customWidth="1"/>
    <col min="10" max="10" width="14" customWidth="1"/>
  </cols>
  <sheetData>
    <row r="3" spans="2:10" x14ac:dyDescent="0.25">
      <c r="B3" t="s">
        <v>32</v>
      </c>
      <c r="C3" t="s">
        <v>31</v>
      </c>
      <c r="D3" s="6" t="s">
        <v>23</v>
      </c>
      <c r="E3" s="6" t="s">
        <v>24</v>
      </c>
      <c r="F3" s="6" t="s">
        <v>25</v>
      </c>
      <c r="G3" s="6" t="s">
        <v>26</v>
      </c>
      <c r="H3" s="6" t="s">
        <v>28</v>
      </c>
      <c r="I3" s="6" t="s">
        <v>29</v>
      </c>
      <c r="J3" s="6" t="s">
        <v>30</v>
      </c>
    </row>
    <row r="4" spans="2:10" x14ac:dyDescent="0.25">
      <c r="B4">
        <v>1</v>
      </c>
      <c r="C4" t="b">
        <v>1</v>
      </c>
      <c r="D4" s="15" t="s">
        <v>27</v>
      </c>
      <c r="F4" s="1">
        <v>43291</v>
      </c>
      <c r="G4" s="1">
        <v>43290</v>
      </c>
    </row>
    <row r="5" spans="2:10" x14ac:dyDescent="0.25">
      <c r="B5">
        <v>2</v>
      </c>
      <c r="C5" t="b">
        <v>1</v>
      </c>
      <c r="D5" s="15" t="s">
        <v>17</v>
      </c>
      <c r="F5" s="1">
        <v>43291</v>
      </c>
      <c r="G5" s="1">
        <v>43290</v>
      </c>
    </row>
    <row r="6" spans="2:10" x14ac:dyDescent="0.25">
      <c r="B6">
        <v>3</v>
      </c>
      <c r="C6" t="b">
        <v>1</v>
      </c>
      <c r="D6" s="15" t="s">
        <v>18</v>
      </c>
      <c r="F6" s="1">
        <v>43291</v>
      </c>
      <c r="G6" s="1">
        <v>43290</v>
      </c>
    </row>
    <row r="7" spans="2:10" x14ac:dyDescent="0.25">
      <c r="B7">
        <v>4</v>
      </c>
      <c r="C7" t="b">
        <v>1</v>
      </c>
      <c r="D7" s="15" t="s">
        <v>19</v>
      </c>
      <c r="F7" s="1">
        <v>43291</v>
      </c>
      <c r="G7" s="1">
        <v>43290</v>
      </c>
    </row>
    <row r="8" spans="2:10" x14ac:dyDescent="0.25">
      <c r="B8">
        <v>5</v>
      </c>
      <c r="C8" t="b">
        <v>1</v>
      </c>
      <c r="D8" s="15" t="s">
        <v>20</v>
      </c>
      <c r="F8" s="1">
        <v>43291</v>
      </c>
      <c r="G8" s="1">
        <v>43290</v>
      </c>
    </row>
    <row r="9" spans="2:10" x14ac:dyDescent="0.25">
      <c r="B9">
        <v>6</v>
      </c>
      <c r="C9" t="b">
        <v>1</v>
      </c>
      <c r="D9" s="15" t="s">
        <v>14</v>
      </c>
      <c r="F9" s="1">
        <v>43291</v>
      </c>
      <c r="G9" s="1">
        <v>43290</v>
      </c>
    </row>
    <row r="10" spans="2:10" x14ac:dyDescent="0.25">
      <c r="B10">
        <v>7</v>
      </c>
      <c r="C10" t="b">
        <v>1</v>
      </c>
      <c r="D10" s="15" t="s">
        <v>21</v>
      </c>
      <c r="F10" s="1">
        <v>43291</v>
      </c>
      <c r="G10" s="1">
        <v>43290</v>
      </c>
    </row>
    <row r="11" spans="2:10" x14ac:dyDescent="0.25">
      <c r="B11">
        <v>8</v>
      </c>
      <c r="C11" t="b">
        <v>1</v>
      </c>
      <c r="D11" s="15" t="s">
        <v>22</v>
      </c>
      <c r="F11" s="1">
        <v>43291</v>
      </c>
      <c r="G11" s="1">
        <v>43290</v>
      </c>
    </row>
    <row r="12" spans="2:10" x14ac:dyDescent="0.25">
      <c r="B12">
        <v>9</v>
      </c>
      <c r="C12" t="b">
        <v>0</v>
      </c>
      <c r="D12" s="15"/>
      <c r="F12" s="1"/>
    </row>
    <row r="13" spans="2:10" x14ac:dyDescent="0.25">
      <c r="B13">
        <v>10</v>
      </c>
      <c r="C13" t="b">
        <v>0</v>
      </c>
      <c r="F13" s="1"/>
    </row>
    <row r="14" spans="2:10" x14ac:dyDescent="0.25">
      <c r="B14">
        <v>11</v>
      </c>
      <c r="C14" t="b">
        <v>0</v>
      </c>
      <c r="F14" s="1"/>
    </row>
    <row r="15" spans="2:10" x14ac:dyDescent="0.25">
      <c r="B15">
        <v>12</v>
      </c>
      <c r="C15" t="b">
        <v>0</v>
      </c>
      <c r="F15" s="1"/>
    </row>
    <row r="16" spans="2:10" x14ac:dyDescent="0.25">
      <c r="B16">
        <v>13</v>
      </c>
      <c r="C16" t="b">
        <v>0</v>
      </c>
      <c r="F16" s="1"/>
    </row>
    <row r="17" spans="2:6" x14ac:dyDescent="0.25">
      <c r="B17">
        <v>14</v>
      </c>
      <c r="C17" t="b">
        <v>0</v>
      </c>
      <c r="F17" s="1"/>
    </row>
    <row r="18" spans="2:6" x14ac:dyDescent="0.25">
      <c r="B18">
        <v>15</v>
      </c>
      <c r="C18" t="b">
        <v>0</v>
      </c>
      <c r="F18" s="1"/>
    </row>
    <row r="19" spans="2:6" x14ac:dyDescent="0.25">
      <c r="B19">
        <v>16</v>
      </c>
      <c r="C19" t="b">
        <v>0</v>
      </c>
      <c r="F19" s="1"/>
    </row>
    <row r="20" spans="2:6" x14ac:dyDescent="0.25">
      <c r="B20">
        <v>17</v>
      </c>
      <c r="C20" t="b">
        <v>0</v>
      </c>
    </row>
    <row r="21" spans="2:6" x14ac:dyDescent="0.25">
      <c r="B21">
        <v>18</v>
      </c>
      <c r="C21" t="b">
        <v>0</v>
      </c>
    </row>
    <row r="22" spans="2:6" x14ac:dyDescent="0.25">
      <c r="B22">
        <v>19</v>
      </c>
      <c r="C22" t="b">
        <v>0</v>
      </c>
    </row>
    <row r="23" spans="2:6" x14ac:dyDescent="0.25">
      <c r="B23">
        <v>20</v>
      </c>
      <c r="C23" t="b">
        <v>0</v>
      </c>
    </row>
    <row r="24" spans="2:6" x14ac:dyDescent="0.25">
      <c r="B24">
        <v>21</v>
      </c>
      <c r="C24" t="b">
        <v>0</v>
      </c>
    </row>
    <row r="25" spans="2:6" x14ac:dyDescent="0.25">
      <c r="B25">
        <v>22</v>
      </c>
      <c r="C25" t="b">
        <v>0</v>
      </c>
    </row>
    <row r="26" spans="2:6" x14ac:dyDescent="0.25">
      <c r="B26">
        <v>23</v>
      </c>
      <c r="C26" t="b">
        <v>0</v>
      </c>
    </row>
    <row r="27" spans="2:6" x14ac:dyDescent="0.25">
      <c r="B27">
        <v>24</v>
      </c>
      <c r="C27" t="b">
        <v>0</v>
      </c>
    </row>
    <row r="28" spans="2:6" x14ac:dyDescent="0.25">
      <c r="B28">
        <v>25</v>
      </c>
      <c r="C28" t="b">
        <v>0</v>
      </c>
    </row>
    <row r="29" spans="2:6" x14ac:dyDescent="0.25">
      <c r="B29">
        <v>26</v>
      </c>
      <c r="C29" t="b">
        <v>0</v>
      </c>
    </row>
    <row r="30" spans="2:6" x14ac:dyDescent="0.25">
      <c r="B30">
        <v>27</v>
      </c>
      <c r="C30" t="b">
        <v>0</v>
      </c>
    </row>
    <row r="31" spans="2:6" x14ac:dyDescent="0.25">
      <c r="B31">
        <v>28</v>
      </c>
      <c r="C31" t="b">
        <v>0</v>
      </c>
    </row>
    <row r="32" spans="2:6" x14ac:dyDescent="0.25">
      <c r="B32">
        <v>29</v>
      </c>
      <c r="C32" t="b">
        <v>0</v>
      </c>
    </row>
    <row r="33" spans="2:3" x14ac:dyDescent="0.25">
      <c r="B33">
        <v>30</v>
      </c>
      <c r="C33" t="b">
        <v>0</v>
      </c>
    </row>
    <row r="34" spans="2:3" x14ac:dyDescent="0.25">
      <c r="B34">
        <v>31</v>
      </c>
      <c r="C34" t="b">
        <v>0</v>
      </c>
    </row>
    <row r="35" spans="2:3" x14ac:dyDescent="0.25">
      <c r="B35">
        <v>32</v>
      </c>
      <c r="C35" t="b">
        <v>0</v>
      </c>
    </row>
    <row r="36" spans="2:3" x14ac:dyDescent="0.25">
      <c r="B36">
        <v>33</v>
      </c>
      <c r="C36" t="b">
        <v>0</v>
      </c>
    </row>
    <row r="37" spans="2:3" x14ac:dyDescent="0.25">
      <c r="B37">
        <v>34</v>
      </c>
      <c r="C37" t="b">
        <v>0</v>
      </c>
    </row>
    <row r="38" spans="2:3" x14ac:dyDescent="0.25">
      <c r="B38">
        <v>35</v>
      </c>
      <c r="C38" t="b">
        <v>0</v>
      </c>
    </row>
    <row r="39" spans="2:3" x14ac:dyDescent="0.25">
      <c r="B39">
        <v>36</v>
      </c>
      <c r="C39" t="b">
        <v>0</v>
      </c>
    </row>
    <row r="40" spans="2:3" x14ac:dyDescent="0.25">
      <c r="B40">
        <v>37</v>
      </c>
      <c r="C40" t="b">
        <v>0</v>
      </c>
    </row>
    <row r="41" spans="2:3" x14ac:dyDescent="0.25">
      <c r="B41">
        <v>38</v>
      </c>
      <c r="C41" t="b">
        <v>0</v>
      </c>
    </row>
    <row r="42" spans="2:3" x14ac:dyDescent="0.25">
      <c r="B42">
        <v>39</v>
      </c>
      <c r="C42" t="b">
        <v>0</v>
      </c>
    </row>
    <row r="43" spans="2:3" x14ac:dyDescent="0.25">
      <c r="B43">
        <v>40</v>
      </c>
      <c r="C43" t="b">
        <v>0</v>
      </c>
    </row>
    <row r="44" spans="2:3" x14ac:dyDescent="0.25">
      <c r="B44">
        <v>41</v>
      </c>
      <c r="C44" t="b">
        <v>0</v>
      </c>
    </row>
    <row r="45" spans="2:3" x14ac:dyDescent="0.25">
      <c r="B45">
        <v>42</v>
      </c>
      <c r="C45" t="b">
        <v>0</v>
      </c>
    </row>
    <row r="46" spans="2:3" x14ac:dyDescent="0.25">
      <c r="B46">
        <v>43</v>
      </c>
      <c r="C46" t="b">
        <v>0</v>
      </c>
    </row>
    <row r="47" spans="2:3" x14ac:dyDescent="0.25">
      <c r="B47">
        <v>44</v>
      </c>
      <c r="C47" t="b">
        <v>0</v>
      </c>
    </row>
    <row r="48" spans="2:3" x14ac:dyDescent="0.25">
      <c r="B48">
        <v>45</v>
      </c>
      <c r="C48" t="b">
        <v>0</v>
      </c>
    </row>
    <row r="49" spans="2:3" x14ac:dyDescent="0.25">
      <c r="B49">
        <v>46</v>
      </c>
      <c r="C49" t="b">
        <v>0</v>
      </c>
    </row>
    <row r="50" spans="2:3" x14ac:dyDescent="0.25">
      <c r="B50">
        <v>47</v>
      </c>
      <c r="C50" t="b">
        <v>0</v>
      </c>
    </row>
    <row r="51" spans="2:3" x14ac:dyDescent="0.25">
      <c r="B51">
        <v>48</v>
      </c>
      <c r="C51" t="b">
        <v>0</v>
      </c>
    </row>
    <row r="52" spans="2:3" x14ac:dyDescent="0.25">
      <c r="B52">
        <v>49</v>
      </c>
      <c r="C52" t="b">
        <v>0</v>
      </c>
    </row>
    <row r="53" spans="2:3" x14ac:dyDescent="0.25">
      <c r="B53">
        <v>50</v>
      </c>
      <c r="C53" t="b">
        <v>0</v>
      </c>
    </row>
    <row r="54" spans="2:3" x14ac:dyDescent="0.25">
      <c r="B54">
        <v>51</v>
      </c>
      <c r="C54" t="b">
        <v>0</v>
      </c>
    </row>
    <row r="55" spans="2:3" x14ac:dyDescent="0.25">
      <c r="B55">
        <v>52</v>
      </c>
      <c r="C55" t="b">
        <v>0</v>
      </c>
    </row>
    <row r="56" spans="2:3" x14ac:dyDescent="0.25">
      <c r="B56">
        <v>53</v>
      </c>
      <c r="C56" t="b">
        <v>0</v>
      </c>
    </row>
    <row r="57" spans="2:3" x14ac:dyDescent="0.25">
      <c r="B57">
        <v>54</v>
      </c>
      <c r="C57" t="b">
        <v>0</v>
      </c>
    </row>
    <row r="58" spans="2:3" x14ac:dyDescent="0.25">
      <c r="B58">
        <v>55</v>
      </c>
      <c r="C58" t="b">
        <v>0</v>
      </c>
    </row>
    <row r="59" spans="2:3" x14ac:dyDescent="0.25">
      <c r="B59">
        <v>56</v>
      </c>
      <c r="C59" t="b">
        <v>0</v>
      </c>
    </row>
    <row r="60" spans="2:3" x14ac:dyDescent="0.25">
      <c r="B60">
        <v>57</v>
      </c>
      <c r="C60" t="b">
        <v>0</v>
      </c>
    </row>
    <row r="61" spans="2:3" x14ac:dyDescent="0.25">
      <c r="B61">
        <v>58</v>
      </c>
      <c r="C61" t="b">
        <v>0</v>
      </c>
    </row>
    <row r="62" spans="2:3" x14ac:dyDescent="0.25">
      <c r="B62">
        <v>59</v>
      </c>
      <c r="C62" t="b">
        <v>0</v>
      </c>
    </row>
    <row r="63" spans="2:3" x14ac:dyDescent="0.25">
      <c r="B63">
        <v>60</v>
      </c>
      <c r="C63" t="b">
        <v>0</v>
      </c>
    </row>
    <row r="64" spans="2:3" x14ac:dyDescent="0.25">
      <c r="B64">
        <v>61</v>
      </c>
      <c r="C64" t="b">
        <v>0</v>
      </c>
    </row>
    <row r="65" spans="2:3" x14ac:dyDescent="0.25">
      <c r="B65">
        <v>62</v>
      </c>
      <c r="C65" t="b">
        <v>0</v>
      </c>
    </row>
    <row r="66" spans="2:3" x14ac:dyDescent="0.25">
      <c r="B66">
        <v>63</v>
      </c>
      <c r="C66" t="b">
        <v>0</v>
      </c>
    </row>
    <row r="67" spans="2:3" x14ac:dyDescent="0.25">
      <c r="B67">
        <v>64</v>
      </c>
      <c r="C67" t="b">
        <v>0</v>
      </c>
    </row>
    <row r="68" spans="2:3" x14ac:dyDescent="0.25">
      <c r="B68">
        <v>65</v>
      </c>
      <c r="C68" t="b">
        <v>0</v>
      </c>
    </row>
    <row r="69" spans="2:3" x14ac:dyDescent="0.25">
      <c r="B69">
        <v>66</v>
      </c>
      <c r="C69" t="b">
        <v>0</v>
      </c>
    </row>
    <row r="70" spans="2:3" x14ac:dyDescent="0.25">
      <c r="B70">
        <v>67</v>
      </c>
      <c r="C70" t="b">
        <v>0</v>
      </c>
    </row>
    <row r="71" spans="2:3" x14ac:dyDescent="0.25">
      <c r="B71">
        <v>68</v>
      </c>
      <c r="C71" t="b">
        <v>0</v>
      </c>
    </row>
    <row r="72" spans="2:3" x14ac:dyDescent="0.25">
      <c r="B72">
        <v>69</v>
      </c>
      <c r="C72" t="b">
        <v>0</v>
      </c>
    </row>
    <row r="73" spans="2:3" x14ac:dyDescent="0.25">
      <c r="B73">
        <v>70</v>
      </c>
      <c r="C73" t="b">
        <v>0</v>
      </c>
    </row>
    <row r="74" spans="2:3" x14ac:dyDescent="0.25">
      <c r="B74">
        <v>71</v>
      </c>
      <c r="C74" t="b">
        <v>0</v>
      </c>
    </row>
    <row r="75" spans="2:3" x14ac:dyDescent="0.25">
      <c r="B75">
        <v>72</v>
      </c>
      <c r="C75" t="b">
        <v>0</v>
      </c>
    </row>
    <row r="76" spans="2:3" x14ac:dyDescent="0.25">
      <c r="B76">
        <v>73</v>
      </c>
      <c r="C76" t="b">
        <v>0</v>
      </c>
    </row>
    <row r="77" spans="2:3" x14ac:dyDescent="0.25">
      <c r="B77">
        <v>74</v>
      </c>
      <c r="C77" t="b">
        <v>0</v>
      </c>
    </row>
    <row r="78" spans="2:3" x14ac:dyDescent="0.25">
      <c r="B78">
        <v>75</v>
      </c>
      <c r="C78" t="b">
        <v>0</v>
      </c>
    </row>
    <row r="79" spans="2:3" x14ac:dyDescent="0.25">
      <c r="B79">
        <v>76</v>
      </c>
      <c r="C79" t="b">
        <v>0</v>
      </c>
    </row>
    <row r="80" spans="2:3" x14ac:dyDescent="0.25">
      <c r="B80">
        <v>77</v>
      </c>
      <c r="C80" t="b">
        <v>0</v>
      </c>
    </row>
    <row r="81" spans="2:3" x14ac:dyDescent="0.25">
      <c r="B81">
        <v>78</v>
      </c>
      <c r="C81" t="b">
        <v>0</v>
      </c>
    </row>
    <row r="82" spans="2:3" x14ac:dyDescent="0.25">
      <c r="B82">
        <v>79</v>
      </c>
      <c r="C82" t="b">
        <v>0</v>
      </c>
    </row>
    <row r="83" spans="2:3" x14ac:dyDescent="0.25">
      <c r="B83">
        <v>80</v>
      </c>
      <c r="C83" t="b">
        <v>0</v>
      </c>
    </row>
    <row r="84" spans="2:3" x14ac:dyDescent="0.25">
      <c r="B84">
        <v>81</v>
      </c>
      <c r="C84" t="b">
        <v>0</v>
      </c>
    </row>
    <row r="85" spans="2:3" x14ac:dyDescent="0.25">
      <c r="B85">
        <v>82</v>
      </c>
      <c r="C85" t="b">
        <v>0</v>
      </c>
    </row>
    <row r="86" spans="2:3" x14ac:dyDescent="0.25">
      <c r="B86">
        <v>83</v>
      </c>
      <c r="C86" t="b">
        <v>0</v>
      </c>
    </row>
    <row r="87" spans="2:3" x14ac:dyDescent="0.25">
      <c r="B87">
        <v>84</v>
      </c>
      <c r="C87" t="b">
        <v>0</v>
      </c>
    </row>
    <row r="88" spans="2:3" x14ac:dyDescent="0.25">
      <c r="B88">
        <v>85</v>
      </c>
      <c r="C88" t="b">
        <v>0</v>
      </c>
    </row>
    <row r="89" spans="2:3" x14ac:dyDescent="0.25">
      <c r="B89">
        <v>86</v>
      </c>
      <c r="C89" t="b">
        <v>0</v>
      </c>
    </row>
    <row r="90" spans="2:3" x14ac:dyDescent="0.25">
      <c r="B90">
        <v>87</v>
      </c>
      <c r="C90" t="b">
        <v>0</v>
      </c>
    </row>
    <row r="91" spans="2:3" x14ac:dyDescent="0.25">
      <c r="B91">
        <v>88</v>
      </c>
      <c r="C91" t="b">
        <v>0</v>
      </c>
    </row>
    <row r="92" spans="2:3" x14ac:dyDescent="0.25">
      <c r="B92">
        <v>89</v>
      </c>
      <c r="C92" t="b">
        <v>0</v>
      </c>
    </row>
    <row r="93" spans="2:3" x14ac:dyDescent="0.25">
      <c r="B93">
        <v>90</v>
      </c>
      <c r="C93" t="b">
        <v>0</v>
      </c>
    </row>
    <row r="94" spans="2:3" x14ac:dyDescent="0.25">
      <c r="B94">
        <v>91</v>
      </c>
      <c r="C94" t="b">
        <v>0</v>
      </c>
    </row>
    <row r="95" spans="2:3" x14ac:dyDescent="0.25">
      <c r="B95">
        <v>92</v>
      </c>
      <c r="C95" t="b">
        <v>0</v>
      </c>
    </row>
    <row r="96" spans="2:3" x14ac:dyDescent="0.25">
      <c r="B96">
        <v>93</v>
      </c>
      <c r="C96" t="b">
        <v>0</v>
      </c>
    </row>
    <row r="97" spans="2:3" x14ac:dyDescent="0.25">
      <c r="B97">
        <v>94</v>
      </c>
      <c r="C97" t="b">
        <v>0</v>
      </c>
    </row>
    <row r="98" spans="2:3" x14ac:dyDescent="0.25">
      <c r="B98">
        <v>95</v>
      </c>
      <c r="C98" t="b">
        <v>0</v>
      </c>
    </row>
    <row r="99" spans="2:3" x14ac:dyDescent="0.25">
      <c r="B99">
        <v>96</v>
      </c>
      <c r="C99" t="b">
        <v>0</v>
      </c>
    </row>
    <row r="100" spans="2:3" x14ac:dyDescent="0.25">
      <c r="B100">
        <v>97</v>
      </c>
      <c r="C100" t="b">
        <v>0</v>
      </c>
    </row>
    <row r="101" spans="2:3" x14ac:dyDescent="0.25">
      <c r="B101">
        <v>98</v>
      </c>
      <c r="C101" t="b">
        <v>0</v>
      </c>
    </row>
    <row r="102" spans="2:3" x14ac:dyDescent="0.25">
      <c r="B102">
        <v>99</v>
      </c>
      <c r="C102" t="b">
        <v>0</v>
      </c>
    </row>
    <row r="103" spans="2:3" x14ac:dyDescent="0.25">
      <c r="B103">
        <v>100</v>
      </c>
      <c r="C103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5738-9451-401B-9562-EDF10909E63B}">
  <sheetPr codeName="Sheet2"/>
  <dimension ref="B3:B4"/>
  <sheetViews>
    <sheetView workbookViewId="0">
      <selection activeCell="D32" sqref="D32"/>
    </sheetView>
  </sheetViews>
  <sheetFormatPr defaultRowHeight="15" x14ac:dyDescent="0.25"/>
  <sheetData>
    <row r="3" spans="2:2" x14ac:dyDescent="0.25">
      <c r="B3" t="s">
        <v>3</v>
      </c>
    </row>
    <row r="4" spans="2:2" x14ac:dyDescent="0.25">
      <c r="B4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List</vt:lpstr>
      <vt:lpstr>Control</vt:lpstr>
      <vt:lpstr>AsOfDate</vt:lpstr>
      <vt:lpstr>CallDate</vt:lpstr>
      <vt:lpstr>CleanPrice</vt:lpstr>
      <vt:lpstr>CurveDate</vt:lpstr>
      <vt:lpstr>DealName</vt:lpstr>
      <vt:lpstr>DirtyPrice</vt:lpstr>
      <vt:lpstr>SetDM</vt:lpstr>
      <vt:lpstr>StandardECOAdd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Pak Sum Chan</dc:creator>
  <cp:lastModifiedBy>Pak Sum Chan</cp:lastModifiedBy>
  <dcterms:created xsi:type="dcterms:W3CDTF">2018-07-05T10:30:08Z</dcterms:created>
  <dcterms:modified xsi:type="dcterms:W3CDTF">2018-07-11T10:11:26Z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564f0e7f-cdc9-4597-90b3-39c72482f5da</vt:lpwstr>
  </property>
</Properties>
</file>